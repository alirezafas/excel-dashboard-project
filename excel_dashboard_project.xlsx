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video\Excel data\Complete Excel Tutorial for Data Analysis\"/>
    </mc:Choice>
  </mc:AlternateContent>
  <xr:revisionPtr revIDLastSave="0" documentId="13_ncr:1_{5D1E2EC5-728E-4928-8E70-73E3FA33691B}" xr6:coauthVersionLast="47" xr6:coauthVersionMax="47" xr10:uidLastSave="{00000000-0000-0000-0000-000000000000}"/>
  <bookViews>
    <workbookView xWindow="-108" yWindow="-108" windowWidth="23256" windowHeight="12576" activeTab="3" xr2:uid="{26D4546B-D2A1-4444-8EAF-A6228F96F0C1}"/>
  </bookViews>
  <sheets>
    <sheet name="pivots" sheetId="6" r:id="rId1"/>
    <sheet name="Sheet4" sheetId="9" r:id="rId2"/>
    <sheet name="Data" sheetId="2" r:id="rId3"/>
    <sheet name="Sheet1" sheetId="5" r:id="rId4"/>
    <sheet name="Assets" sheetId="4"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6"/>
    <pivotCache cacheId="1" r:id="rId7"/>
    <pivotCache cacheId="2" r:id="rId8"/>
    <pivotCache cacheId="3" r:id="rId9"/>
    <pivotCache cacheId="4" r:id="rId10"/>
    <pivotCache cacheId="163" r:id="rId11"/>
    <pivotCache cacheId="166" r:id="rId12"/>
    <pivotCache cacheId="169" r:id="rId13"/>
    <pivotCache cacheId="172" r:id="rId14"/>
    <pivotCache cacheId="175"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8" i="9" l="1"/>
  <c r="G51" i="9" s="1"/>
  <c r="J52" i="9" s="1"/>
  <c r="G47" i="9"/>
  <c r="G50" i="9" s="1"/>
  <c r="J51" i="9" s="1"/>
  <c r="G46" i="9"/>
  <c r="J50" i="9" s="1"/>
  <c r="Q16" i="5" a="1"/>
  <c r="Q16" i="5" s="1"/>
  <c r="P17" i="5" a="1"/>
  <c r="P17" i="5" s="1"/>
  <c r="J33" i="9"/>
  <c r="J36" i="9" s="1"/>
  <c r="H36" i="9"/>
  <c r="H37" i="9"/>
  <c r="H38" i="9"/>
  <c r="H39" i="9"/>
  <c r="H40" i="9"/>
  <c r="G36" i="9"/>
  <c r="G37" i="9"/>
  <c r="G38" i="9"/>
  <c r="G39" i="9"/>
  <c r="G40" i="9"/>
  <c r="F37" i="9"/>
  <c r="F38" i="9"/>
  <c r="F39" i="9"/>
  <c r="F40" i="9"/>
  <c r="F36" i="9"/>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9" i="9" l="1"/>
  <c r="I36" i="9"/>
  <c r="J37" i="9"/>
  <c r="I40" i="9"/>
  <c r="J40" i="9"/>
  <c r="J38" i="9"/>
  <c r="I39" i="9"/>
  <c r="I38" i="9"/>
  <c r="I3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733D5-E200-4D63-A016-B02D4B54DB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6319878-82EE-45F5-9A3F-F8C4B48757F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E9EADA07-D8E4-4872-A273-A0BBF1D63B4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<sst xmlns="http://schemas.openxmlformats.org/spreadsheetml/2006/main" count="3174" uniqueCount="1082">
  <si>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</si>
  <si>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</si>
  <si>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</si>
  <si>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</si>
  <si>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</si>
  <si>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</si>
  <si>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</si>
  <si>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</si>
  <si>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</si>
  <si>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</si>
  <si>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</si>
  <si>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</si>
  <si>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</si>
  <si>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</si>
  <si>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</si>
  <si>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</si>
  <si>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</si>
  <si>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</si>
  <si>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</si>
  <si>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</si>
  <si>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</si>
  <si>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</si>
  <si>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</si>
  <si>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</si>
  <si>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</si>
  <si>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</si>
  <si>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</si>
  <si>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</si>
  <si>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</si>
  <si>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</si>
  <si>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</si>
  <si>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</si>
  <si>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</si>
  <si>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</si>
  <si>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</si>
  <si>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</si>
  <si>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</si>
  <si>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</si>
  <si>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</si>
  <si>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</si>
  <si>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</si>
  <si>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</si>
  <si>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</si>
  <si>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</si>
  <si>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</si>
  <si>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</si>
  <si>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</si>
  <si>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</si>
  <si>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</si>
  <si>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</si>
  <si>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</si>
  <si>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</si>
  <si>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</si>
  <si>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</si>
  <si>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</si>
  <si>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</si>
  <si>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</si>
  <si>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</si>
  <si>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</si>
  <si>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</si>
  <si>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</si>
  <si>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</si>
  <si>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</si>
  <si>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</si>
  <si>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</si>
  <si>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</si>
  <si>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</si>
  <si>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</si>
  <si>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</si>
  <si>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</si>
  <si>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</si>
  <si>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</si>
  <si>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</si>
  <si>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</si>
  <si>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</si>
  <si>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</si>
  <si>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</si>
  <si>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</si>
  <si>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</si>
  <si>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</si>
  <si>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</si>
  <si>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</si>
  <si>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</si>
  <si>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</si>
  <si>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</si>
  <si>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</si>
  <si>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</si>
  <si>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</si>
  <si>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</si>
  <si>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</si>
  <si>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</si>
  <si>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</si>
  <si>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</si>
  <si>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</si>
  <si>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</si>
  <si>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</si>
  <si>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</si>
  <si>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</si>
  <si>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</si>
  <si>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</si>
  <si>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</si>
  <si>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</si>
  <si>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</si>
  <si>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</si>
  <si>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</si>
  <si>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</si>
  <si>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</si>
  <si>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</si>
  <si>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</si>
  <si>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</si>
  <si>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</si>
  <si>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</si>
  <si>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</si>
  <si>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</si>
  <si>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</si>
  <si>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</si>
  <si>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</si>
  <si>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</si>
  <si>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</si>
  <si>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</si>
  <si>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</si>
  <si>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</si>
  <si>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</si>
  <si>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</si>
  <si>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</si>
  <si>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</si>
  <si>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</si>
  <si>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</si>
  <si>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</si>
  <si>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</si>
  <si>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</si>
  <si>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</si>
  <si>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</si>
  <si>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</si>
  <si>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</si>
  <si>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</si>
  <si>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</si>
  <si>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</si>
  <si>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</si>
  <si>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</si>
  <si>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</si>
  <si>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</si>
  <si>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</si>
  <si>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</si>
  <si>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</si>
  <si>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</si>
  <si>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</si>
  <si>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</si>
  <si>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</si>
  <si>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</si>
  <si>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</si>
  <si>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</si>
  <si>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</si>
  <si>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</si>
  <si>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</si>
  <si>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</si>
  <si>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</si>
  <si>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</si>
  <si>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</si>
  <si>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</si>
  <si>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</si>
  <si>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</si>
  <si>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</si>
  <si>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</si>
  <si>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</si>
  <si>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</si>
  <si>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</si>
  <si>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</si>
  <si>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</si>
  <si>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</si>
  <si>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</si>
  <si>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</si>
  <si>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</si>
  <si>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</si>
  <si>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</si>
  <si>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</si>
  <si>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</si>
  <si>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</si>
  <si>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</si>
  <si>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</si>
  <si>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</si>
  <si>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</si>
  <si>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</si>
  <si>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</si>
  <si>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</si>
  <si>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</si>
  <si>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</si>
  <si>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</si>
  <si>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</si>
  <si>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</si>
  <si>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</si>
  <si>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</si>
  <si>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</si>
  <si>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</si>
  <si>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</si>
  <si>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</si>
  <si>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</si>
  <si>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</si>
  <si>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</si>
  <si>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</si>
  <si>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</si>
  <si>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</si>
  <si>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</si>
  <si>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</si>
  <si>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</si>
  <si>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</si>
  <si>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</si>
  <si>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</si>
  <si>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</si>
  <si>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</si>
  <si>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</si>
  <si>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</si>
  <si>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</si>
  <si>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</si>
  <si>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</si>
  <si>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</si>
  <si>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</si>
  <si>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</si>
  <si>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</si>
  <si>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</si>
  <si>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</si>
  <si>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</si>
  <si>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</si>
  <si>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</si>
  <si>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</si>
  <si>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</si>
  <si>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</si>
  <si>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</si>
  <si>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</si>
  <si>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</si>
  <si>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</si>
  <si>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</si>
  <si>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</si>
  <si>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</si>
  <si>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</si>
  <si>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</si>
  <si>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</si>
  <si>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</si>
  <si>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</si>
  <si>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</si>
  <si>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</si>
  <si>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</si>
  <si>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</si>
  <si>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</si>
  <si>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</si>
  <si>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</si>
  <si>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</si>
  <si>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</si>
  <si>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</si>
  <si>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</si>
  <si>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</si>
  <si>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</si>
  <si>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</si>
  <si>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</si>
  <si>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</si>
  <si>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</si>
  <si>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</si>
  <si>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</si>
  <si>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</si>
  <si>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</si>
  <si>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</si>
  <si>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</si>
  <si>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</si>
  <si>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</si>
  <si>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</si>
  <si>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</si>
  <si>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</si>
  <si>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</si>
  <si>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</si>
  <si>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</si>
  <si>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</si>
  <si>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</si>
  <si>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</si>
  <si>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</si>
  <si>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</si>
  <si>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</si>
  <si>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</si>
  <si>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</si>
  <si>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</si>
  <si>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</si>
  <si>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</si>
  <si>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</si>
  <si>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</si>
  <si>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</si>
  <si>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</si>
  <si>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</si>
  <si>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</si>
  <si>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</si>
  <si>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</si>
  <si>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</si>
  <si>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</si>
  <si>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</si>
  <si>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</si>
  <si>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</si>
  <si>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</si>
  <si>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</si>
  <si>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</si>
  <si>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</si>
  <si>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</si>
  <si>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</si>
  <si>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</si>
  <si>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</si>
  <si>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</si>
  <si>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</si>
  <si>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</si>
  <si>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</si>
  <si>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</si>
  <si>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</si>
  <si>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</si>
  <si>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</si>
  <si>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</si>
  <si>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</si>
  <si>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</si>
  <si>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</si>
  <si>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</si>
  <si>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</si>
  <si>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</si>
  <si>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</si>
  <si>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</si>
  <si>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</si>
  <si>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</si>
  <si>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</si>
  <si>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</si>
  <si>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</si>
  <si>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</si>
  <si>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</si>
  <si>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</si>
  <si>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</si>
  <si>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</si>
  <si>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</si>
  <si>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</si>
  <si>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</si>
  <si>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</si>
  <si>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</si>
  <si>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</si>
  <si>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</si>
  <si>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</si>
  <si>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</si>
  <si>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</si>
  <si>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</si>
  <si>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</si>
  <si>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</si>
  <si>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</si>
  <si>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</si>
  <si>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</si>
  <si>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</si>
  <si>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</si>
  <si>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</si>
  <si>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</si>
  <si>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</si>
  <si>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</si>
  <si>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</si>
  <si>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</si>
  <si>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</si>
  <si>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</si>
  <si>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</si>
  <si>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</si>
  <si>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</si>
  <si>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</si>
  <si>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</si>
  <si>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</si>
  <si>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</si>
  <si>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</si>
  <si>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</si>
  <si>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</si>
  <si>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</si>
  <si>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</si>
  <si>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</si>
  <si>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</si>
  <si>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</si>
  <si>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</si>
  <si>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</si>
  <si>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</si>
  <si>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</si>
  <si>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</si>
  <si>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</si>
  <si>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</si>
  <si>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</si>
  <si>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</si>
  <si>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</si>
  <si>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</si>
  <si>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</si>
  <si>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</si>
  <si>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</si>
  <si>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</si>
  <si>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</si>
  <si>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</si>
  <si>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</si>
  <si>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</si>
  <si>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</si>
  <si>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</si>
  <si>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</si>
  <si>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</si>
  <si>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</si>
  <si>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</si>
  <si>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</si>
  <si>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</si>
  <si>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</si>
  <si>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</si>
  <si>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</si>
  <si>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</si>
  <si>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</si>
  <si>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</si>
  <si>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</si>
  <si>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</si>
  <si>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</si>
  <si>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</si>
  <si>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</si>
  <si>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</si>
  <si>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</si>
  <si>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</si>
  <si>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</si>
  <si>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</si>
  <si>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</si>
  <si>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</si>
  <si>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</si>
  <si>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</si>
  <si>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</si>
  <si>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</si>
  <si>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</si>
  <si>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</si>
  <si>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</si>
  <si>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</si>
  <si>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</si>
  <si>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</si>
  <si>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</si>
  <si>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</si>
  <si>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</si>
  <si>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</si>
  <si>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</si>
  <si>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</si>
  <si>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</si>
  <si>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</si>
  <si>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</si>
  <si>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</si>
  <si>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</si>
  <si>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</si>
  <si>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</si>
  <si>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</si>
  <si>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</si>
  <si>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</si>
  <si>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</si>
  <si>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</si>
  <si>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</si>
  <si>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</si>
  <si>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</si>
  <si>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</si>
  <si>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</si>
  <si>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</si>
  <si>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</si>
  <si>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</si>
  <si>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</si>
  <si>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</si>
  <si>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</si>
  <si>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</si>
  <si>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</si>
  <si>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</si>
  <si>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</si>
  <si>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</si>
  <si>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</si>
  <si>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</si>
  <si>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</si>
  <si>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</si>
  <si>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</si>
  <si>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</si>
  <si>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</si>
  <si>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</si>
  <si>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</si>
  <si>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</si>
  <si>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</si>
  <si>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</si>
  <si>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</si>
  <si>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</si>
  <si>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</si>
  <si>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</si>
  <si>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</si>
  <si>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</si>
  <si>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</si>
  <si>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</si>
  <si>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</si>
  <si>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</si>
  <si>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</si>
  <si>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</si>
  <si>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</si>
  <si>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</si>
  <si>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</si>
  <si>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</si>
  <si>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</si>
  <si>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</si>
  <si>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</si>
  <si>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</si>
  <si>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</si>
  <si>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</si>
  <si>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</si>
  <si>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</si>
  <si>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</si>
  <si>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</si>
  <si>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</si>
  <si>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</si>
  <si>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</si>
  <si>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</si>
  <si>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</si>
  <si>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</si>
  <si>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</si>
  <si>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</si>
  <si>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</si>
  <si>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</si>
  <si>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</si>
  <si>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</si>
  <si>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</si>
  <si>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</si>
  <si>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</si>
  <si>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</si>
  <si>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</si>
  <si>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</si>
  <si>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</si>
  <si>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</si>
  <si>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</si>
  <si>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</si>
  <si>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</si>
  <si>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</si>
  <si>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</si>
  <si>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</si>
  <si>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</si>
  <si>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</si>
  <si>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</si>
  <si>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</si>
  <si>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</si>
  <si>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</si>
  <si>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</si>
  <si>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</si>
  <si>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</si>
  <si>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</si>
  <si>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</si>
  <si>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</si>
  <si>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</si>
  <si>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</si>
  <si>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</si>
  <si>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</si>
  <si>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</si>
  <si>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</si>
  <si>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</si>
  <si>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</si>
  <si>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</si>
  <si>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</si>
  <si>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</si>
  <si>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</si>
  <si>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</si>
  <si>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</si>
  <si>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</si>
  <si>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</si>
  <si>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</si>
  <si>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</si>
  <si>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</si>
  <si>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</si>
  <si>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</si>
  <si>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</si>
  <si>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</si>
  <si>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</si>
  <si>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</si>
  <si>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</si>
  <si>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</si>
  <si>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</si>
  <si>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</si>
  <si>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</si>
  <si>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</si>
  <si>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</si>
  <si>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</si>
  <si>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</si>
  <si>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</si>
  <si>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</si>
  <si>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</si>
  <si>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</si>
  <si>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</si>
  <si>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</si>
  <si>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</si>
  <si>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</si>
  <si>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</si>
  <si>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</si>
  <si>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</si>
  <si>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</si>
  <si>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</si>
  <si>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</si>
  <si>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</si>
  <si>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</si>
  <si>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</si>
  <si>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</si>
  <si>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</si>
  <si>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</si>
  <si>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</si>
  <si>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</si>
  <si>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</si>
  <si>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</si>
  <si>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</si>
  <si>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</si>
  <si>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</si>
  <si>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</si>
  <si>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</si>
  <si>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</si>
  <si>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</si>
  <si>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</si>
  <si>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</si>
  <si>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</si>
  <si>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</si>
  <si>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</si>
  <si>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</si>
  <si>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</si>
  <si>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</si>
  <si>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</si>
  <si>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</si>
  <si>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</si>
  <si>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</si>
  <si>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</si>
  <si>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</si>
  <si>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</si>
  <si>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</si>
  <si>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</si>
  <si>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</si>
  <si>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</si>
  <si>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</si>
  <si>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</si>
  <si>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</si>
  <si>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</si>
  <si>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</si>
  <si>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</si>
  <si>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</si>
  <si>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</si>
  <si>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</si>
  <si>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</si>
  <si>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</si>
  <si>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</si>
  <si>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</si>
  <si>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</si>
  <si>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</si>
  <si>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</si>
  <si>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</si>
  <si>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</si>
  <si>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</si>
  <si>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</si>
  <si>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</si>
  <si>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</si>
  <si>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</si>
  <si>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</si>
  <si>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</si>
  <si>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</si>
  <si>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</si>
  <si>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</si>
  <si>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</si>
  <si>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</si>
  <si>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</si>
  <si>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</si>
  <si>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</si>
  <si>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</si>
  <si>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</si>
  <si>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</si>
  <si>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</si>
  <si>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</si>
  <si>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</si>
  <si>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</si>
  <si>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</si>
  <si>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</si>
  <si>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</si>
  <si>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</si>
  <si>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</si>
  <si>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</si>
  <si>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</si>
  <si>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</si>
  <si>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</si>
  <si>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</si>
  <si>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</si>
  <si>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</si>
  <si>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</si>
  <si>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</si>
  <si>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</si>
  <si>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</si>
  <si>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</si>
  <si>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</si>
  <si>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</si>
  <si>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</si>
  <si>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</si>
  <si>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</si>
  <si>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</si>
  <si>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</si>
  <si>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</si>
  <si>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</si>
  <si>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</si>
  <si>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</si>
  <si>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</si>
  <si>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</si>
  <si>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</si>
  <si>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</si>
  <si>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</si>
  <si>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</si>
  <si>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</si>
  <si>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</si>
  <si>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</si>
  <si>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</si>
  <si>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</si>
  <si>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</si>
  <si>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</si>
  <si>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</si>
  <si>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</si>
  <si>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</si>
  <si>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</si>
  <si>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</si>
  <si>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</si>
  <si>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</si>
  <si>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</si>
  <si>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</si>
  <si>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</si>
  <si>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</si>
  <si>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</si>
  <si>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</si>
  <si>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</si>
  <si>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</si>
  <si>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</si>
  <si>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</si>
  <si>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</si>
  <si>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</si>
  <si>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</si>
  <si>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</si>
  <si>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</si>
  <si>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</si>
  <si>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</si>
  <si>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</si>
  <si>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</si>
  <si>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</si>
  <si>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</si>
  <si>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</si>
  <si>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</si>
  <si>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</si>
  <si>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</si>
  <si>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</si>
  <si>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</si>
  <si>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</si>
  <si>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</si>
  <si>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</si>
  <si>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</si>
  <si>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</si>
  <si>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</si>
  <si>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</si>
  <si>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</si>
  <si>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</si>
  <si>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</si>
  <si>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</si>
  <si>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</si>
  <si>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</si>
  <si>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</si>
  <si>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</si>
  <si>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</si>
  <si>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</si>
  <si>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</si>
  <si>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</si>
  <si>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</si>
  <si>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</si>
  <si>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</si>
  <si>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</si>
  <si>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</si>
  <si>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</si>
  <si>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</si>
  <si>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</si>
  <si>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</si>
  <si>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</si>
  <si>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</si>
  <si>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</si>
  <si>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</si>
  <si>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</si>
  <si>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</si>
  <si>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</si>
  <si>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</si>
  <si>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</si>
  <si>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</si>
  <si>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</si>
  <si>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</si>
  <si>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</si>
  <si>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</si>
  <si>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</si>
  <si>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</si>
  <si>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</si>
  <si>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</si>
  <si>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</si>
  <si>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</si>
  <si>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</si>
  <si>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</si>
  <si>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</si>
  <si>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</si>
  <si>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</si>
  <si>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</si>
  <si>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</si>
  <si>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</si>
  <si>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</si>
  <si>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</si>
  <si>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</si>
  <si>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</si>
  <si>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</si>
  <si>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</si>
  <si>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</si>
  <si>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</si>
  <si>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</si>
  <si>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</si>
  <si>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</si>
  <si>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</si>
  <si>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</si>
  <si>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</si>
  <si>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</si>
  <si>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</si>
  <si>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</si>
  <si>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</si>
  <si>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</si>
  <si>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</si>
  <si>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</si>
  <si>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</si>
  <si>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</si>
  <si>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</si>
  <si>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</si>
  <si>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</si>
  <si>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</si>
  <si>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</si>
  <si>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</si>
  <si>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</si>
  <si>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</si>
  <si>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</si>
  <si>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</si>
  <si>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</si>
  <si>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</si>
  <si>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</si>
  <si>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</si>
  <si>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</si>
  <si>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</si>
  <si>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</si>
  <si>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</si>
  <si>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</si>
  <si>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</si>
  <si>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</si>
  <si>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</si>
  <si>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</si>
  <si>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</si>
  <si>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</si>
  <si>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</si>
  <si>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</si>
  <si>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</si>
  <si>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</si>
  <si>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</si>
  <si>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</si>
  <si>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</si>
  <si>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</si>
  <si>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</si>
  <si>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</si>
  <si>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</si>
  <si>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</si>
  <si>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</si>
  <si>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</si>
  <si>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</si>
  <si>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</si>
  <si>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</si>
  <si>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</si>
  <si>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</si>
  <si>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</si>
  <si>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</si>
  <si>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</si>
  <si>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</si>
  <si>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</si>
  <si>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</si>
  <si>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</si>
  <si>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</si>
  <si>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</si>
  <si>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</si>
  <si>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</si>
  <si>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</si>
  <si>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</si>
  <si>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</si>
  <si>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</si>
  <si>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</si>
  <si>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</si>
  <si>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</si>
  <si>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</si>
  <si>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</si>
  <si>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</si>
  <si>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</si>
  <si>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</si>
  <si>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</si>
  <si>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</si>
  <si>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</si>
  <si>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</si>
  <si>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</si>
  <si>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</si>
  <si>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</si>
  <si>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</si>
  <si>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</si>
  <si>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</si>
  <si>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</si>
  <si>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</si>
  <si>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</si>
  <si>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</si>
  <si>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</si>
  <si>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</si>
  <si>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</si>
  <si>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</si>
  <si>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</si>
  <si>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</si>
  <si>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</si>
  <si>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</si>
  <si>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</si>
  <si>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</si>
  <si>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</si>
  <si>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</si>
  <si>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</si>
  <si>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</si>
  <si>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</si>
  <si>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</si>
  <si>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</si>
  <si>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</si>
  <si>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</si>
  <si>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</si>
  <si>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</si>
  <si>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</si>
  <si>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</si>
  <si>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</si>
  <si>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</si>
  <si>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</si>
  <si>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</si>
  <si>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</si>
  <si>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</si>
  <si>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</si>
  <si>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</si>
  <si>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</si>
  <si>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</si>
  <si>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</si>
  <si>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</si>
  <si>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</si>
  <si>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</si>
  <si>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</si>
  <si>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</si>
  <si>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</si>
  <si>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</si>
  <si>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</si>
  <si>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</si>
  <si>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</si>
  <si>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</si>
  <si>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</si>
  <si>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</si>
  <si>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</si>
  <si>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</si>
  <si>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</si>
  <si>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</si>
  <si>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</si>
  <si>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</si>
  <si>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</si>
  <si>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</si>
  <si>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</si>
  <si>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</si>
  <si>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</si>
  <si>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</si>
  <si>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</si>
  <si>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</si>
  <si>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</si>
  <si>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</si>
  <si>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</si>
  <si>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</si>
  <si>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</si>
  <si>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</si>
  <si>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</si>
  <si>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</si>
  <si>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</si>
  <si>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</si>
  <si>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</si>
  <si>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</si>
  <si>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</si>
  <si>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</si>
  <si>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</si>
  <si>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</si>
  <si>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</si>
  <si>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</si>
  <si>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</si>
  <si>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</si>
  <si>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</si>
  <si>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</si>
  <si>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</si>
  <si>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</si>
  <si>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</si>
  <si>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</si>
  <si>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</si>
  <si>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</si>
  <si>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</si>
  <si>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</si>
  <si>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</si>
  <si>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</si>
  <si>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</si>
  <si>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</si>
  <si>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</si>
  <si>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</si>
  <si>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</si>
  <si>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</si>
  <si>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</si>
  <si>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</si>
  <si>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</si>
  <si>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</si>
  <si>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</si>
  <si>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</si>
  <si>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</si>
  <si>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</si>
  <si>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</si>
  <si>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</si>
  <si>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</si>
  <si>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</si>
  <si>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</si>
  <si>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</si>
  <si>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</si>
  <si>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</si>
  <si>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</si>
  <si>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</si>
  <si>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</si>
  <si>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</si>
  <si>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</si>
  <si>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</si>
  <si>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</si>
  <si>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</si>
  <si>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</si>
  <si>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</si>
  <si>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</si>
  <si>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</si>
  <si>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</si>
  <si>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</si>
  <si>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</si>
  <si>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</si>
  <si>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</si>
  <si>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</si>
  <si>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</si>
  <si>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</si>
  <si>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</si>
  <si>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</si>
  <si>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</si>
  <si>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</si>
  <si>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</si>
  <si>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</si>
  <si>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</si>
  <si>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</si>
  <si>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</si>
  <si>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</si>
  <si>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</si>
  <si>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</si>
  <si>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</si>
  <si>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</si>
  <si>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</si>
  <si>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</si>
  <si>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</si>
  <si>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</si>
  <si>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</si>
  <si>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</si>
  <si>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</si>
  <si>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</si>
  <si>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</si>
  <si>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</si>
  <si>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</si>
  <si>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</si>
  <si>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</si>
  <si>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</si>
  <si>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</si>
  <si>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</si>
  <si>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</si>
  <si>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</si>
  <si>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</si>
  <si>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</si>
  <si>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</si>
  <si>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</si>
  <si>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</si>
  <si>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</si>
  <si>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</si>
  <si>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</si>
  <si>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</si>
  <si>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</si>
  <si>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</si>
  <si>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Sell.Calls</t>
  </si>
  <si>
    <t>Sell.Amount</t>
  </si>
  <si>
    <t>selected rep</t>
  </si>
  <si>
    <t>Column Labels</t>
  </si>
  <si>
    <t>TOTAL</t>
  </si>
  <si>
    <t>Rep summery</t>
  </si>
  <si>
    <t>% of calls</t>
  </si>
  <si>
    <t>Call Rank</t>
  </si>
  <si>
    <t>Amount Rank</t>
  </si>
  <si>
    <t>lables: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</si>
</sst>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09]d\-mmm\-yy;@"/>
    <numFmt numFmtId="165" formatCode="\$#,##0;\(\$#,##0\);\$#,##0"/>
    <numFmt numFmtId="166" formatCode="0.0"/>
    <numFmt numFmtId="167" formatCode="&quot;$&quot;#,###.0,\k"/>
    <numFmt numFmtId="168" formatCode="&quot;$&quot;#,##0"/>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3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0" fontId="0" fillId="5" borderId="0" xfId="0" applyFill="1" applyBorder="1"/>
    <xf numFmtId="0" fontId="5" fillId="5" borderId="0" xfId="0" applyFont="1" applyFill="1" applyBorder="1"/>
    <xf numFmtId="0" fontId="5" fillId="5" borderId="0" xfId="0" applyFont="1" applyFill="1" applyBorder="1" applyAlignment="1">
      <alignment horizontal="center" vertical="center"/>
    </xf>
    <xf numFmtId="168" fontId="5" fillId="5" borderId="0" xfId="1" applyNumberFormat="1" applyFont="1" applyFill="1" applyBorder="1" applyAlignment="1">
      <alignment horizontal="center" vertical="center"/>
    </xf>
    <xf numFmtId="0" fontId="1" fillId="5" borderId="0" xfId="0" applyFont="1" applyFill="1" applyBorder="1"/>
    <xf numFmtId="0" fontId="6" fillId="5" borderId="0" xfId="0" applyFont="1" applyFill="1" applyBorder="1"/>
    <xf numFmtId="0" fontId="6" fillId="5" borderId="0" xfId="0" applyFont="1" applyFill="1" applyBorder="1" applyAlignment="1">
      <alignment horizontal="center" vertical="center"/>
    </xf>
    <xf numFmtId="9" fontId="0" fillId="0" borderId="0" xfId="2" applyFont="1"/>
  </cellXfs>
  <cellStyles count="3">
    <cellStyle name="Currency" xfId="1" builtinId="4"/>
    <cellStyle name="Normal" xfId="0" builtinId="0"/>
    <cellStyle name="Percent" xfId="2" builtinId="5"/>
  </cellStyles>
  <dxfs count="30">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39994506668294322"/>
        </patternFill>
      </fill>
      <border>
        <left style="thin">
          <color theme="1" tint="0.24994659260841701"/>
        </left>
        <right style="thin">
          <color theme="1" tint="0.24994659260841701"/>
        </right>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9"/>
    </tableStyle>
    <tableStyle name="SlicerStyleDark5 2" pivot="0" table="0" count="10" xr9:uid="{27E44375-6FDB-4786-8E5D-4695FE68347F}">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[07.sample-data-excel-portfolio-project.xlsx]Sheet4!weekly trend</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manualLayout>
          <c:layoutTarget val="inner"/>
          <c:xMode val="edge"/>
          <c:yMode val="edge"/>
          <c:x val="0.27042210375261166"/>
          <c:y val="5.7291806135569084E-2"/>
          <c:w val="0.72957789624738834"/>
          <c:h val="0.88541666666666663"/>
        </c:manualLayout>
      </c:layout>
      <c:barChart>
        <c:barDir val="bar"/>
        <c:grouping val="clustered"/>
        <c:varyColors val="0"/>
        <c:ser>
          <c:idx val="0"/>
          <c:order val="0"/>
          <c:tx>
            <c:strRef>
              <c:f>Sheet4!$G$18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Sheet4!$F$19:$F$26</c:f>
              <c:strCache>
                <c:ptCount val="7"/>
                <c:pt idx="0">
                  <c:v>Sunday</c:v>
                </c:pt>
                <c:pt idx="1">
                  <c:v>Monday</c:v>
                </c:pt>
                <c:pt idx="2">
                  <c:v>Tuesday</c:v>
                </c:pt>
                <c:pt idx="3">
                  <c:v>Wednesday</c:v>
                </c:pt>
                <c:pt idx="4">
                  <c:v>Thursday</c:v>
                </c:pt>
                <c:pt idx="5">
                  <c:v>Friday</c:v>
                </c:pt>
                <c:pt idx="6">
                  <c:v>Saturday</c:v>
                </c:pt>
              </c:strCache>
            </c:strRef>
          </c:cat>
          <c:val>
            <c:numRef>
              <c:f>Sheet4!$G$19:$G$26</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106B-4871-B00D-8565B83987D6}"/>
            </c:ext>
          </c:extLst>
        </c:ser>
        <c:dLbls>
          <c:showLegendKey val="0"/>
          <c:showVal val="0"/>
          <c:showCatName val="0"/>
          <c:showSerName val="0"/>
          <c:showPercent val="0"/>
          <c:showBubbleSize val="0"/>
        </c:dLbls>
        <c:gapWidth val="25"/>
        <c:axId val="1269842096"/>
        <c:axId val="1269843056"/>
      </c:barChart>
      <c:catAx>
        <c:axId val="1269842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43056"/>
        <c:crosses val="autoZero"/>
        <c:auto val="1"/>
        <c:lblAlgn val="ctr"/>
        <c:lblOffset val="100"/>
        <c:noMultiLvlLbl val="0"/>
      </c:catAx>
      <c:valAx>
        <c:axId val="1269843056"/>
        <c:scaling>
          <c:orientation val="minMax"/>
        </c:scaling>
        <c:delete val="1"/>
        <c:axPos val="b"/>
        <c:numFmt formatCode="#,##0" sourceLinked="1"/>
        <c:majorTickMark val="none"/>
        <c:minorTickMark val="none"/>
        <c:tickLblPos val="nextTo"/>
        <c:crossAx val="126984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[07.sample-data-excel-portfolio-project.xlsx]Sheet4!PivotTable1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Call</a:t>
            </a:r>
            <a:r>
              <a:rPr lang="en-US" b="1" baseline="0">
                <a:solidFill>
                  <a:schemeClr val="accent6"/>
                </a:solidFill>
              </a:rPr>
              <a:t>s</a:t>
            </a:r>
            <a:r>
              <a:rPr lang="en-US" baseline="0"/>
              <a:t> </a:t>
            </a:r>
            <a:r>
              <a:rPr lang="en-US" b="1" baseline="0">
                <a:solidFill>
                  <a:schemeClr val="accent6"/>
                </a:solidFill>
              </a:rPr>
              <a:t>Trands</a:t>
            </a:r>
            <a:endParaRPr lang="en-US" b="1">
              <a:solidFill>
                <a:schemeClr val="accent6"/>
              </a:solidFill>
            </a:endParaRPr>
          </a:p>
        </c:rich>
      </c:tx>
      <c:layout>
        <c:manualLayout>
          <c:xMode val="edge"/>
          <c:yMode val="edge"/>
          <c:x val="3.8194444444444448E-2"/>
          <c:y val="4.1231808392215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alpha val="50000"/>
                  <a:lumMod val="60000"/>
                  <a:lumOff val="40000"/>
                </a:schemeClr>
              </a:gs>
              <a:gs pos="100000">
                <a:schemeClr val="accent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pivotFmt>
      <c:pivotFmt>
        <c:idx val="7"/>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pivotFmt>
    </c:pivotFmts>
    <c:plotArea>
      <c:layout/>
      <c:areaChart>
        <c:grouping val="standard"/>
        <c:varyColors val="0"/>
        <c:ser>
          <c:idx val="1"/>
          <c:order val="1"/>
          <c:tx>
            <c:strRef>
              <c:f>Sheet4!$C$17</c:f>
              <c:strCache>
                <c:ptCount val="1"/>
                <c:pt idx="0">
                  <c:v>call count2</c:v>
                </c:pt>
              </c:strCache>
            </c:strRef>
          </c:tx>
          <c:spPr>
            <a:gradFill flip="none" rotWithShape="1">
              <a:gsLst>
                <a:gs pos="0">
                  <a:schemeClr val="accent6">
                    <a:alpha val="50000"/>
                    <a:lumMod val="60000"/>
                    <a:lumOff val="40000"/>
                  </a:schemeClr>
                </a:gs>
                <a:gs pos="100000">
                  <a:schemeClr val="accent6"/>
                </a:gs>
              </a:gsLst>
              <a:lin ang="5400000" scaled="1"/>
              <a:tileRect/>
            </a:gradFill>
            <a:ln>
              <a:noFill/>
            </a:ln>
            <a:effectLst/>
          </c:spPr>
          <c:cat>
            <c:strRef>
              <c:f>Sheet4!$A$18:$A$30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Sheet4!$C$18:$C$30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DFD-4A86-B6E2-D7E0CEA58E64}"/>
            </c:ext>
          </c:extLst>
        </c:ser>
        <c:dLbls>
          <c:showLegendKey val="0"/>
          <c:showVal val="0"/>
          <c:showCatName val="0"/>
          <c:showSerName val="0"/>
          <c:showPercent val="0"/>
          <c:showBubbleSize val="0"/>
        </c:dLbls>
        <c:axId val="923109087"/>
        <c:axId val="923110527"/>
      </c:areaChart>
      <c:lineChart>
        <c:grouping val="standard"/>
        <c:varyColors val="0"/>
        <c:ser>
          <c:idx val="0"/>
          <c:order val="0"/>
          <c:tx>
            <c:strRef>
              <c:f>Sheet4!$B$17</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cat>
            <c:strRef>
              <c:f>Sheet4!$A$18:$A$30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Sheet4!$B$18:$B$30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DFD-4A86-B6E2-D7E0CEA58E64}"/>
            </c:ext>
          </c:extLst>
        </c:ser>
        <c:dLbls>
          <c:showLegendKey val="0"/>
          <c:showVal val="0"/>
          <c:showCatName val="0"/>
          <c:showSerName val="0"/>
          <c:showPercent val="0"/>
          <c:showBubbleSize val="0"/>
        </c:dLbls>
        <c:marker val="1"/>
        <c:smooth val="0"/>
        <c:axId val="923109087"/>
        <c:axId val="923110527"/>
      </c:lineChart>
      <c:catAx>
        <c:axId val="923109087"/>
        <c:scaling>
          <c:orientation val="minMax"/>
        </c:scaling>
        <c:delete val="1"/>
        <c:axPos val="b"/>
        <c:numFmt formatCode="General" sourceLinked="1"/>
        <c:majorTickMark val="none"/>
        <c:minorTickMark val="none"/>
        <c:tickLblPos val="nextTo"/>
        <c:crossAx val="923110527"/>
        <c:crosses val="autoZero"/>
        <c:auto val="1"/>
        <c:lblAlgn val="ctr"/>
        <c:lblOffset val="100"/>
        <c:noMultiLvlLbl val="0"/>
      </c:catAx>
      <c:valAx>
        <c:axId val="923110527"/>
        <c:scaling>
          <c:orientation val="minMax"/>
        </c:scaling>
        <c:delete val="1"/>
        <c:axPos val="l"/>
        <c:numFmt formatCode="#,##0" sourceLinked="1"/>
        <c:majorTickMark val="none"/>
        <c:minorTickMark val="none"/>
        <c:tickLblPos val="nextTo"/>
        <c:crossAx val="92310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US" b="1">
                <a:solidFill>
                  <a:schemeClr val="accent5"/>
                </a:solidFill>
              </a:rPr>
              <a:t>Calls</a:t>
            </a:r>
          </a:p>
        </c:rich>
      </c:tx>
      <c:layout>
        <c:manualLayout>
          <c:xMode val="edge"/>
          <c:yMode val="edge"/>
          <c:x val="6.4197530864197536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Sheet4!$F$36:$F$40</c:f>
              <c:strCache>
                <c:ptCount val="5"/>
                <c:pt idx="0">
                  <c:v>R01</c:v>
                </c:pt>
                <c:pt idx="1">
                  <c:v>R02</c:v>
                </c:pt>
                <c:pt idx="2">
                  <c:v>R03</c:v>
                </c:pt>
                <c:pt idx="3">
                  <c:v>R04</c:v>
                </c:pt>
                <c:pt idx="4">
                  <c:v>R05</c:v>
                </c:pt>
              </c:strCache>
            </c:strRef>
          </c:cat>
          <c:val>
            <c:numRef>
              <c:f>Sheet4!$G$36:$G$40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59A-4098-8456-9F72EFC9FBB0}"/>
            </c:ext>
          </c:extLst>
        </c:ser>
        <c:ser>
          <c:idx val="1"/>
          <c:order val="1"/>
          <c:tx>
            <c:strRef>
              <c:f>Sheet4!$I$35</c:f>
              <c:strCache>
                <c:ptCount val="1"/>
                <c:pt idx="0">
                  <c:v>Sell.Calls</c:v>
                </c:pt>
              </c:strCache>
            </c:strRef>
          </c:tx>
          <c:spPr>
            <a:gradFill flip="none" rotWithShape="1">
              <a:gsLst>
                <a:gs pos="0">
                  <a:schemeClr val="accent5"/>
                </a:gs>
                <a:gs pos="100000">
                  <a:schemeClr val="accent5">
                    <a:lumMod val="60000"/>
                    <a:lumOff val="40000"/>
                  </a:schemeClr>
                </a:gs>
              </a:gsLst>
              <a:lin ang="10800000" scaled="1"/>
              <a:tileRect/>
            </a:gradFill>
            <a:ln>
              <a:noFill/>
            </a:ln>
            <a:effectLst/>
          </c:spPr>
          <c:invertIfNegative val="0"/>
          <c:val>
            <c:numRef>
              <c:f>Sheet4!$I$36:$I$40</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959A-4098-8456-9F72EFC9FBB0}"/>
            </c:ext>
          </c:extLst>
        </c:ser>
        <c:dLbls>
          <c:showLegendKey val="0"/>
          <c:showVal val="0"/>
          <c:showCatName val="0"/>
          <c:showSerName val="0"/>
          <c:showPercent val="0"/>
          <c:showBubbleSize val="0"/>
        </c:dLbls>
        <c:gapWidth val="25"/>
        <c:overlap val="100"/>
        <c:axId val="1796884592"/>
        <c:axId val="1796878832"/>
      </c:barChart>
      <c:catAx>
        <c:axId val="1796884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878832"/>
        <c:crosses val="autoZero"/>
        <c:auto val="1"/>
        <c:lblAlgn val="ctr"/>
        <c:lblOffset val="100"/>
        <c:noMultiLvlLbl val="0"/>
      </c:catAx>
      <c:valAx>
        <c:axId val="1796878832"/>
        <c:scaling>
          <c:orientation val="minMax"/>
          <c:min val="0"/>
        </c:scaling>
        <c:delete val="1"/>
        <c:axPos val="t"/>
        <c:numFmt formatCode="General" sourceLinked="1"/>
        <c:majorTickMark val="none"/>
        <c:minorTickMark val="none"/>
        <c:tickLblPos val="nextTo"/>
        <c:crossAx val="179688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b="1">
                <a:solidFill>
                  <a:schemeClr val="accent6"/>
                </a:solidFill>
              </a:rPr>
              <a:t>Amount</a:t>
            </a:r>
          </a:p>
        </c:rich>
      </c:tx>
      <c:layout>
        <c:manualLayout>
          <c:xMode val="edge"/>
          <c:yMode val="edge"/>
          <c:x val="5.6747061269185946E-2"/>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Sheet4!$F$36:$F$40</c:f>
              <c:strCache>
                <c:ptCount val="5"/>
                <c:pt idx="0">
                  <c:v>R01</c:v>
                </c:pt>
                <c:pt idx="1">
                  <c:v>R02</c:v>
                </c:pt>
                <c:pt idx="2">
                  <c:v>R03</c:v>
                </c:pt>
                <c:pt idx="3">
                  <c:v>R04</c:v>
                </c:pt>
                <c:pt idx="4">
                  <c:v>R05</c:v>
                </c:pt>
              </c:strCache>
            </c:strRef>
          </c:cat>
          <c:val>
            <c:numRef>
              <c:f>Sheet4!$H$36:$H$40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FEE-4A95-BE6F-255BBC897B5B}"/>
            </c:ext>
          </c:extLst>
        </c:ser>
        <c:ser>
          <c:idx val="1"/>
          <c:order val="1"/>
          <c:tx>
            <c:strRef>
              <c:f>Sheet4!$J$35</c:f>
              <c:strCache>
                <c:ptCount val="1"/>
                <c:pt idx="0">
                  <c:v>Sell.Amount</c:v>
                </c:pt>
              </c:strCache>
            </c:strRef>
          </c:tx>
          <c:spPr>
            <a:gradFill>
              <a:gsLst>
                <a:gs pos="0">
                  <a:schemeClr val="accent6"/>
                </a:gs>
                <a:gs pos="100000">
                  <a:schemeClr val="accent5"/>
                </a:gs>
              </a:gsLst>
              <a:lin ang="10800000" scaled="1"/>
            </a:gradFill>
            <a:ln>
              <a:noFill/>
            </a:ln>
            <a:effectLst/>
          </c:spPr>
          <c:invertIfNegative val="0"/>
          <c:val>
            <c:numRef>
              <c:f>Sheet4!$J$36:$J$40</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3FEE-4A95-BE6F-255BBC897B5B}"/>
            </c:ext>
          </c:extLst>
        </c:ser>
        <c:dLbls>
          <c:showLegendKey val="0"/>
          <c:showVal val="0"/>
          <c:showCatName val="0"/>
          <c:showSerName val="0"/>
          <c:showPercent val="0"/>
          <c:showBubbleSize val="0"/>
        </c:dLbls>
        <c:gapWidth val="25"/>
        <c:overlap val="100"/>
        <c:axId val="1979548192"/>
        <c:axId val="1979552032"/>
      </c:barChart>
      <c:catAx>
        <c:axId val="1979548192"/>
        <c:scaling>
          <c:orientation val="maxMin"/>
        </c:scaling>
        <c:delete val="1"/>
        <c:axPos val="l"/>
        <c:numFmt formatCode="General" sourceLinked="1"/>
        <c:majorTickMark val="none"/>
        <c:minorTickMark val="none"/>
        <c:tickLblPos val="nextTo"/>
        <c:crossAx val="1979552032"/>
        <c:crosses val="autoZero"/>
        <c:auto val="1"/>
        <c:lblAlgn val="ctr"/>
        <c:lblOffset val="100"/>
        <c:noMultiLvlLbl val="0"/>
      </c:catAx>
      <c:valAx>
        <c:axId val="1979552032"/>
        <c:scaling>
          <c:orientation val="minMax"/>
        </c:scaling>
        <c:delete val="1"/>
        <c:axPos val="t"/>
        <c:numFmt formatCode="&quot;$&quot;#,###.0,\k" sourceLinked="1"/>
        <c:majorTickMark val="none"/>
        <c:minorTickMark val="none"/>
        <c:tickLblPos val="nextTo"/>
        <c:crossAx val="197954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[07.sample-data-excel-portfolio-project.xlsx]Sheet4!PivotTable2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chemeClr val="accent5"/>
                </a:solidFill>
              </a:rPr>
              <a:t>Female</a:t>
            </a:r>
            <a:r>
              <a:rPr lang="en-US" sz="1700" b="1" baseline="0"/>
              <a:t> vs.</a:t>
            </a:r>
            <a:r>
              <a:rPr lang="en-US" sz="1700" b="1" baseline="0">
                <a:solidFill>
                  <a:schemeClr val="accent4"/>
                </a:solidFill>
              </a:rPr>
              <a:t>male</a:t>
            </a:r>
            <a:r>
              <a:rPr lang="en-US" sz="1700" b="1" baseline="0"/>
              <a:t> callers</a:t>
            </a:r>
            <a:endParaRPr lang="en-US" sz="17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Sheet4!$B$54:$B$55</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Sheet4!$A$56:$A$59</c:f>
              <c:strCache>
                <c:ptCount val="3"/>
                <c:pt idx="0">
                  <c:v>Cincinnati</c:v>
                </c:pt>
                <c:pt idx="1">
                  <c:v>Cleveland</c:v>
                </c:pt>
                <c:pt idx="2">
                  <c:v>Columbus</c:v>
                </c:pt>
              </c:strCache>
            </c:strRef>
          </c:cat>
          <c:val>
            <c:numRef>
              <c:f>Sheet4!$B$56:$B$59</c:f>
              <c:numCache>
                <c:formatCode>#,##0</c:formatCode>
                <c:ptCount val="3"/>
                <c:pt idx="0">
                  <c:v>144</c:v>
                </c:pt>
                <c:pt idx="1">
                  <c:v>326</c:v>
                </c:pt>
                <c:pt idx="2">
                  <c:v>129</c:v>
                </c:pt>
              </c:numCache>
            </c:numRef>
          </c:val>
          <c:extLst>
            <c:ext xmlns:c16="http://schemas.microsoft.com/office/drawing/2014/chart" uri="{C3380CC4-5D6E-409C-BE32-E72D297353CC}">
              <c16:uniqueId val="{00000000-6AC1-4670-912C-D4B038CEA131}"/>
            </c:ext>
          </c:extLst>
        </c:ser>
        <c:ser>
          <c:idx val="1"/>
          <c:order val="1"/>
          <c:tx>
            <c:strRef>
              <c:f>Sheet4!$C$54:$C$55</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Sheet4!$A$56:$A$59</c:f>
              <c:strCache>
                <c:ptCount val="3"/>
                <c:pt idx="0">
                  <c:v>Cincinnati</c:v>
                </c:pt>
                <c:pt idx="1">
                  <c:v>Cleveland</c:v>
                </c:pt>
                <c:pt idx="2">
                  <c:v>Columbus</c:v>
                </c:pt>
              </c:strCache>
            </c:strRef>
          </c:cat>
          <c:val>
            <c:numRef>
              <c:f>Sheet4!$C$56:$C$59</c:f>
              <c:numCache>
                <c:formatCode>#,##0</c:formatCode>
                <c:ptCount val="3"/>
                <c:pt idx="0">
                  <c:v>132</c:v>
                </c:pt>
                <c:pt idx="1">
                  <c:v>63</c:v>
                </c:pt>
                <c:pt idx="2">
                  <c:v>206</c:v>
                </c:pt>
              </c:numCache>
            </c:numRef>
          </c:val>
          <c:extLst>
            <c:ext xmlns:c16="http://schemas.microsoft.com/office/drawing/2014/chart" uri="{C3380CC4-5D6E-409C-BE32-E72D297353CC}">
              <c16:uniqueId val="{00000001-6AC1-4670-912C-D4B038CEA131}"/>
            </c:ext>
          </c:extLst>
        </c:ser>
        <c:dLbls>
          <c:showLegendKey val="0"/>
          <c:showVal val="0"/>
          <c:showCatName val="0"/>
          <c:showSerName val="0"/>
          <c:showPercent val="0"/>
          <c:showBubbleSize val="0"/>
        </c:dLbls>
        <c:gapWidth val="25"/>
        <c:overlap val="100"/>
        <c:axId val="872390847"/>
        <c:axId val="872398047"/>
      </c:barChart>
      <c:catAx>
        <c:axId val="87239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98047"/>
        <c:crosses val="autoZero"/>
        <c:auto val="1"/>
        <c:lblAlgn val="ctr"/>
        <c:lblOffset val="100"/>
        <c:noMultiLvlLbl val="0"/>
      </c:catAx>
      <c:valAx>
        <c:axId val="872398047"/>
        <c:scaling>
          <c:orientation val="minMax"/>
        </c:scaling>
        <c:delete val="1"/>
        <c:axPos val="l"/>
        <c:numFmt formatCode="0%" sourceLinked="1"/>
        <c:majorTickMark val="out"/>
        <c:minorTickMark val="none"/>
        <c:tickLblPos val="nextTo"/>
        <c:crossAx val="87239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[07.sample-data-excel-portfolio-project.xlsx]Sheet4!rep satisfaction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layout>
        <c:manualLayout>
          <c:xMode val="edge"/>
          <c:yMode val="edge"/>
          <c:x val="0.41902420733993617"/>
          <c:y val="8.55444956172931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Sheet4!$B$64</c:f>
              <c:strCache>
                <c:ptCount val="1"/>
                <c:pt idx="0">
                  <c:v>Total</c:v>
                </c:pt>
              </c:strCache>
            </c:strRef>
          </c:tx>
          <c:spPr>
            <a:solidFill>
              <a:schemeClr val="bg2">
                <a:lumMod val="75000"/>
              </a:schemeClr>
            </a:solidFill>
            <a:ln>
              <a:noFill/>
            </a:ln>
            <a:effectLst/>
          </c:spPr>
          <c:invertIfNegative val="0"/>
          <c:cat>
            <c:strRef>
              <c:f>Sheet4!$A$65:$A$69</c:f>
              <c:strCache>
                <c:ptCount val="4"/>
                <c:pt idx="0">
                  <c:v>2</c:v>
                </c:pt>
                <c:pt idx="1">
                  <c:v>3</c:v>
                </c:pt>
                <c:pt idx="2">
                  <c:v>4</c:v>
                </c:pt>
                <c:pt idx="3">
                  <c:v>5</c:v>
                </c:pt>
              </c:strCache>
            </c:strRef>
          </c:cat>
          <c:val>
            <c:numRef>
              <c:f>Sheet4!$B$65:$B$69</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EFE3-436F-9C9A-2FD9F8330C53}"/>
            </c:ext>
          </c:extLst>
        </c:ser>
        <c:dLbls>
          <c:showLegendKey val="0"/>
          <c:showVal val="0"/>
          <c:showCatName val="0"/>
          <c:showSerName val="0"/>
          <c:showPercent val="0"/>
          <c:showBubbleSize val="0"/>
        </c:dLbls>
        <c:gapWidth val="25"/>
        <c:overlap val="-27"/>
        <c:axId val="1414494511"/>
        <c:axId val="1414494991"/>
      </c:barChart>
      <c:catAx>
        <c:axId val="141449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94991"/>
        <c:crosses val="autoZero"/>
        <c:auto val="1"/>
        <c:lblAlgn val="ctr"/>
        <c:lblOffset val="100"/>
        <c:noMultiLvlLbl val="0"/>
      </c:catAx>
      <c:valAx>
        <c:axId val="141449499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9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17930</xdr:colOff>
      <xdr:row>14</xdr:row>
      <xdr:rowOff>118110</xdr:rowOff>
    </xdr:to>
    <xdr:sp macro="" textlink="">
      <xdr:nvSpPr>
        <xdr:cNvPr id="16" name="Rectangle 15">
          <a:extLst>
            <a:ext uri="{FF2B5EF4-FFF2-40B4-BE49-F238E27FC236}">
              <a16:creationId xmlns:a16="http://schemas.microsoft.com/office/drawing/2014/main" id="{F256A522-84DA-AFEE-0B12-F11EC2786B05}"/>
            </a:ext>
          </a:extLst>
        </xdr:cNvPr>
        <xdr:cNvSpPr/>
      </xdr:nvSpPr>
      <xdr:spPr>
        <a:xfrm>
          <a:off x="2017059" y="0"/>
          <a:ext cx="7252447" cy="26282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476251</xdr:colOff>
      <xdr:row>1</xdr:row>
      <xdr:rowOff>0</xdr:rowOff>
    </xdr:from>
    <xdr:to>
      <xdr:col>13</xdr:col>
      <xdr:colOff>430307</xdr:colOff>
      <xdr:row>14</xdr:row>
      <xdr:rowOff>116205</xdr:rowOff>
    </xdr:to>
    <xdr:graphicFrame macro="">
      <xdr:nvGraphicFramePr>
        <xdr:cNvPr id="7" name="Chart 6">
          <a:extLst>
            <a:ext uri="{FF2B5EF4-FFF2-40B4-BE49-F238E27FC236}">
              <a16:creationId xmlns:a16="http://schemas.microsoft.com/office/drawing/2014/main" id="{64071E7F-C5DD-4D87-B2FA-E92F068E4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18</xdr:row>
      <xdr:rowOff>66675</xdr:rowOff>
    </xdr:from>
    <xdr:to>
      <xdr:col>13</xdr:col>
      <xdr:colOff>495300</xdr:colOff>
      <xdr:row>28</xdr:row>
      <xdr:rowOff>0</xdr:rowOff>
    </xdr:to>
    <mc:AlternateContent xmlns:mc="http://schemas.openxmlformats.org/markup-compatibility/2006" xmlns:a14="http://schemas.microsoft.com/office/drawing/2010/main">
      <mc:Choice Requires="a14">
        <xdr:graphicFrame macro="">
          <xdr:nvGraphicFramePr>
            <xdr:cNvPr id="12" name="Representative">
              <a:extLst>
                <a:ext uri="{FF2B5EF4-FFF2-40B4-BE49-F238E27FC236}">
                  <a16:creationId xmlns:a16="http://schemas.microsoft.com/office/drawing/2014/main" id="{B31FB22F-1400-4489-B354-13F92090B97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334250" y="332422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1</xdr:row>
      <xdr:rowOff>7620</xdr:rowOff>
    </xdr:from>
    <xdr:to>
      <xdr:col>2</xdr:col>
      <xdr:colOff>220980</xdr:colOff>
      <xdr:row>6</xdr:row>
      <xdr:rowOff>7620</xdr:rowOff>
    </xdr:to>
    <xdr:sp macro="" textlink="Sheet4!A4">
      <xdr:nvSpPr>
        <xdr:cNvPr id="2" name="Rectangle 1">
          <a:extLst>
            <a:ext uri="{FF2B5EF4-FFF2-40B4-BE49-F238E27FC236}">
              <a16:creationId xmlns:a16="http://schemas.microsoft.com/office/drawing/2014/main" id="{9701D684-976E-DA7D-E299-33FB737C9303}"/>
            </a:ext>
          </a:extLst>
        </xdr:cNvPr>
        <xdr:cNvSpPr/>
      </xdr:nvSpPr>
      <xdr:spPr>
        <a:xfrm>
          <a:off x="152400" y="188595"/>
          <a:ext cx="1402080" cy="90487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556DC8-94BA-4237-B4BB-FD7D710CBCA6}" type="TxLink">
            <a:rPr lang="en-US" sz="2400" b="0" i="0" u="none" strike="noStrike">
              <a:solidFill>
                <a:schemeClr val="bg1"/>
              </a:solidFill>
              <a:latin typeface="Aptos"/>
            </a:rPr>
            <a:pPr algn="ctr"/>
            <a:t>1,000</a:t>
          </a:fld>
          <a:endParaRPr lang="en-US" sz="2400">
            <a:solidFill>
              <a:schemeClr val="bg1"/>
            </a:solidFill>
          </a:endParaRPr>
        </a:p>
      </xdr:txBody>
    </xdr:sp>
    <xdr:clientData/>
  </xdr:twoCellAnchor>
  <xdr:twoCellAnchor>
    <xdr:from>
      <xdr:col>0</xdr:col>
      <xdr:colOff>518087</xdr:colOff>
      <xdr:row>1</xdr:row>
      <xdr:rowOff>38100</xdr:rowOff>
    </xdr:from>
    <xdr:to>
      <xdr:col>1</xdr:col>
      <xdr:colOff>525707</xdr:colOff>
      <xdr:row>2</xdr:row>
      <xdr:rowOff>106680</xdr:rowOff>
    </xdr:to>
    <xdr:sp macro="" textlink="">
      <xdr:nvSpPr>
        <xdr:cNvPr id="3" name="TextBox 2">
          <a:extLst>
            <a:ext uri="{FF2B5EF4-FFF2-40B4-BE49-F238E27FC236}">
              <a16:creationId xmlns:a16="http://schemas.microsoft.com/office/drawing/2014/main" id="{C2B2C6C3-BEAB-C864-8858-C7D095EF6E07}"/>
            </a:ext>
          </a:extLst>
        </xdr:cNvPr>
        <xdr:cNvSpPr txBox="1"/>
      </xdr:nvSpPr>
      <xdr:spPr>
        <a:xfrm>
          <a:off x="518087" y="221273"/>
          <a:ext cx="678033" cy="25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20000"/>
                  <a:lumOff val="80000"/>
                </a:schemeClr>
              </a:solidFill>
              <a:latin typeface="Segoe UI Black" panose="020B0A02040204020203" pitchFamily="34" charset="0"/>
              <a:ea typeface="Segoe UI Black" panose="020B0A02040204020203" pitchFamily="34" charset="0"/>
              <a:cs typeface="Lalezar" panose="00000500000000000000" pitchFamily="50" charset="-78"/>
            </a:rPr>
            <a:t>Calls</a:t>
          </a:r>
        </a:p>
      </xdr:txBody>
    </xdr:sp>
    <xdr:clientData/>
  </xdr:twoCellAnchor>
  <xdr:twoCellAnchor editAs="oneCell">
    <xdr:from>
      <xdr:col>0</xdr:col>
      <xdr:colOff>138197</xdr:colOff>
      <xdr:row>1</xdr:row>
      <xdr:rowOff>15241</xdr:rowOff>
    </xdr:from>
    <xdr:to>
      <xdr:col>0</xdr:col>
      <xdr:colOff>442766</xdr:colOff>
      <xdr:row>2</xdr:row>
      <xdr:rowOff>129540</xdr:rowOff>
    </xdr:to>
    <xdr:pic>
      <xdr:nvPicPr>
        <xdr:cNvPr id="4" name="Graphic 3" descr="Receiver with solid fill">
          <a:extLst>
            <a:ext uri="{FF2B5EF4-FFF2-40B4-BE49-F238E27FC236}">
              <a16:creationId xmlns:a16="http://schemas.microsoft.com/office/drawing/2014/main" id="{3000A342-65C8-4C84-A62C-C94E264F43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8197" y="198414"/>
          <a:ext cx="304569" cy="297472"/>
        </a:xfrm>
        <a:prstGeom prst="rect">
          <a:avLst/>
        </a:prstGeom>
      </xdr:spPr>
    </xdr:pic>
    <xdr:clientData/>
  </xdr:twoCellAnchor>
  <xdr:twoCellAnchor>
    <xdr:from>
      <xdr:col>0</xdr:col>
      <xdr:colOff>491417</xdr:colOff>
      <xdr:row>4</xdr:row>
      <xdr:rowOff>129540</xdr:rowOff>
    </xdr:from>
    <xdr:to>
      <xdr:col>1</xdr:col>
      <xdr:colOff>552377</xdr:colOff>
      <xdr:row>5</xdr:row>
      <xdr:rowOff>137160</xdr:rowOff>
    </xdr:to>
    <xdr:sp macro="" textlink="Sheet4!A12">
      <xdr:nvSpPr>
        <xdr:cNvPr id="5" name="TextBox 4">
          <a:extLst>
            <a:ext uri="{FF2B5EF4-FFF2-40B4-BE49-F238E27FC236}">
              <a16:creationId xmlns:a16="http://schemas.microsoft.com/office/drawing/2014/main" id="{9FF2F020-C816-2046-3E1A-896CD2F7FAF9}"/>
            </a:ext>
          </a:extLst>
        </xdr:cNvPr>
        <xdr:cNvSpPr txBox="1"/>
      </xdr:nvSpPr>
      <xdr:spPr>
        <a:xfrm>
          <a:off x="491417" y="862232"/>
          <a:ext cx="731373" cy="19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D732C0-BEDC-4AE2-80A8-3C7ABB3B957F}" type="TxLink">
            <a:rPr lang="en-US" sz="1100" b="0" i="0" u="none" strike="noStrike">
              <a:solidFill>
                <a:schemeClr val="accent6">
                  <a:lumMod val="20000"/>
                  <a:lumOff val="80000"/>
                </a:schemeClr>
              </a:solidFill>
              <a:latin typeface="Aptos"/>
            </a:rPr>
            <a:pPr algn="ctr"/>
            <a:t>200</a:t>
          </a:fld>
          <a:endParaRPr lang="en-US" sz="1100">
            <a:solidFill>
              <a:schemeClr val="accent6">
                <a:lumMod val="20000"/>
                <a:lumOff val="80000"/>
              </a:schemeClr>
            </a:solidFill>
          </a:endParaRPr>
        </a:p>
      </xdr:txBody>
    </xdr:sp>
    <xdr:clientData/>
  </xdr:twoCellAnchor>
  <xdr:twoCellAnchor>
    <xdr:from>
      <xdr:col>0</xdr:col>
      <xdr:colOff>137160</xdr:colOff>
      <xdr:row>7</xdr:row>
      <xdr:rowOff>53340</xdr:rowOff>
    </xdr:from>
    <xdr:to>
      <xdr:col>2</xdr:col>
      <xdr:colOff>205740</xdr:colOff>
      <xdr:row>12</xdr:row>
      <xdr:rowOff>53340</xdr:rowOff>
    </xdr:to>
    <xdr:sp macro="" textlink="Sheet4!B4">
      <xdr:nvSpPr>
        <xdr:cNvPr id="22" name="Rectangle 21">
          <a:extLst>
            <a:ext uri="{FF2B5EF4-FFF2-40B4-BE49-F238E27FC236}">
              <a16:creationId xmlns:a16="http://schemas.microsoft.com/office/drawing/2014/main" id="{4A92F07E-88C0-467B-912A-01EEC9C1A380}"/>
            </a:ext>
          </a:extLst>
        </xdr:cNvPr>
        <xdr:cNvSpPr/>
      </xdr:nvSpPr>
      <xdr:spPr>
        <a:xfrm>
          <a:off x="137160" y="1320165"/>
          <a:ext cx="1402080" cy="90487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75FF9E2-6B0B-4BEB-BF84-3116133169EE}" type="TxLink">
            <a:rPr lang="en-US" sz="2400" b="0" i="0" u="none" strike="noStrike">
              <a:solidFill>
                <a:schemeClr val="bg1"/>
              </a:solidFill>
              <a:latin typeface="Aptos"/>
              <a:ea typeface="+mn-ea"/>
              <a:cs typeface="+mn-cs"/>
            </a:rPr>
            <a:pPr marL="0" indent="0" algn="ctr"/>
            <a:t>$96,623</a:t>
          </a:fld>
          <a:endParaRPr lang="en-US" sz="2400" b="0" i="0" u="none" strike="noStrike">
            <a:solidFill>
              <a:schemeClr val="bg1"/>
            </a:solidFill>
            <a:latin typeface="Aptos"/>
            <a:ea typeface="+mn-ea"/>
            <a:cs typeface="+mn-cs"/>
          </a:endParaRPr>
        </a:p>
      </xdr:txBody>
    </xdr:sp>
    <xdr:clientData/>
  </xdr:twoCellAnchor>
  <xdr:twoCellAnchor>
    <xdr:from>
      <xdr:col>0</xdr:col>
      <xdr:colOff>472367</xdr:colOff>
      <xdr:row>7</xdr:row>
      <xdr:rowOff>83820</xdr:rowOff>
    </xdr:from>
    <xdr:to>
      <xdr:col>1</xdr:col>
      <xdr:colOff>571427</xdr:colOff>
      <xdr:row>8</xdr:row>
      <xdr:rowOff>152400</xdr:rowOff>
    </xdr:to>
    <xdr:sp macro="" textlink="">
      <xdr:nvSpPr>
        <xdr:cNvPr id="23" name="TextBox 22">
          <a:extLst>
            <a:ext uri="{FF2B5EF4-FFF2-40B4-BE49-F238E27FC236}">
              <a16:creationId xmlns:a16="http://schemas.microsoft.com/office/drawing/2014/main" id="{440C459D-9100-40B4-8021-F9EAD58F5CBD}"/>
            </a:ext>
          </a:extLst>
        </xdr:cNvPr>
        <xdr:cNvSpPr txBox="1"/>
      </xdr:nvSpPr>
      <xdr:spPr>
        <a:xfrm>
          <a:off x="472367" y="1366032"/>
          <a:ext cx="769473" cy="25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20000"/>
                  <a:lumOff val="80000"/>
                </a:schemeClr>
              </a:solidFill>
              <a:latin typeface="Segoe UI Black" panose="020B0A02040204020203" pitchFamily="34" charset="0"/>
              <a:ea typeface="Segoe UI Black" panose="020B0A02040204020203" pitchFamily="34" charset="0"/>
              <a:cs typeface="Lalezar" panose="00000500000000000000" pitchFamily="50" charset="-78"/>
            </a:rPr>
            <a:t>Amount</a:t>
          </a:r>
        </a:p>
      </xdr:txBody>
    </xdr:sp>
    <xdr:clientData/>
  </xdr:twoCellAnchor>
  <xdr:twoCellAnchor>
    <xdr:from>
      <xdr:col>0</xdr:col>
      <xdr:colOff>491417</xdr:colOff>
      <xdr:row>10</xdr:row>
      <xdr:rowOff>175260</xdr:rowOff>
    </xdr:from>
    <xdr:to>
      <xdr:col>1</xdr:col>
      <xdr:colOff>552377</xdr:colOff>
      <xdr:row>12</xdr:row>
      <xdr:rowOff>0</xdr:rowOff>
    </xdr:to>
    <xdr:sp macro="" textlink="Sheet4!B12">
      <xdr:nvSpPr>
        <xdr:cNvPr id="25" name="TextBox 24">
          <a:extLst>
            <a:ext uri="{FF2B5EF4-FFF2-40B4-BE49-F238E27FC236}">
              <a16:creationId xmlns:a16="http://schemas.microsoft.com/office/drawing/2014/main" id="{53E5EB9B-2A3A-44AA-B157-72C204F5A843}"/>
            </a:ext>
          </a:extLst>
        </xdr:cNvPr>
        <xdr:cNvSpPr txBox="1"/>
      </xdr:nvSpPr>
      <xdr:spPr>
        <a:xfrm>
          <a:off x="491417" y="2006991"/>
          <a:ext cx="731373" cy="191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887EC7-110B-4DF2-9A9E-18FDEAE169C9}" type="TxLink">
            <a:rPr lang="en-US" sz="1100" b="0" i="0" u="none" strike="noStrike">
              <a:solidFill>
                <a:schemeClr val="accent6">
                  <a:lumMod val="20000"/>
                  <a:lumOff val="80000"/>
                </a:schemeClr>
              </a:solidFill>
              <a:latin typeface="Aptos"/>
              <a:ea typeface="+mn-ea"/>
              <a:cs typeface="+mn-cs"/>
            </a:rPr>
            <a:pPr marL="0" indent="0" algn="ctr"/>
            <a:t>$20,104</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xdr:from>
      <xdr:col>0</xdr:col>
      <xdr:colOff>137160</xdr:colOff>
      <xdr:row>13</xdr:row>
      <xdr:rowOff>137160</xdr:rowOff>
    </xdr:from>
    <xdr:to>
      <xdr:col>2</xdr:col>
      <xdr:colOff>205740</xdr:colOff>
      <xdr:row>18</xdr:row>
      <xdr:rowOff>137160</xdr:rowOff>
    </xdr:to>
    <xdr:sp macro="" textlink="Sheet4!C4">
      <xdr:nvSpPr>
        <xdr:cNvPr id="26" name="Rectangle 25">
          <a:extLst>
            <a:ext uri="{FF2B5EF4-FFF2-40B4-BE49-F238E27FC236}">
              <a16:creationId xmlns:a16="http://schemas.microsoft.com/office/drawing/2014/main" id="{977AF9C2-51D8-46FF-BBB2-A2C5D13E965E}"/>
            </a:ext>
          </a:extLst>
        </xdr:cNvPr>
        <xdr:cNvSpPr/>
      </xdr:nvSpPr>
      <xdr:spPr>
        <a:xfrm>
          <a:off x="137160" y="2514600"/>
          <a:ext cx="1409700"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07259AF-CDAA-40EE-8D8B-959204B35C97}" type="TxLink">
            <a:rPr lang="en-US" sz="2400" b="0" i="0" u="none" strike="noStrike">
              <a:solidFill>
                <a:schemeClr val="bg1"/>
              </a:solidFill>
              <a:latin typeface="Aptos"/>
              <a:ea typeface="+mn-ea"/>
              <a:cs typeface="+mn-cs"/>
            </a:rPr>
            <a:pPr marL="0" indent="0" algn="ctr"/>
            <a:t>89,850</a:t>
          </a:fld>
          <a:endParaRPr lang="en-US" sz="2400" b="0" i="0" u="none" strike="noStrike">
            <a:solidFill>
              <a:schemeClr val="bg1"/>
            </a:solidFill>
            <a:latin typeface="Aptos"/>
            <a:ea typeface="+mn-ea"/>
            <a:cs typeface="+mn-cs"/>
          </a:endParaRPr>
        </a:p>
      </xdr:txBody>
    </xdr:sp>
    <xdr:clientData/>
  </xdr:twoCellAnchor>
  <xdr:twoCellAnchor>
    <xdr:from>
      <xdr:col>0</xdr:col>
      <xdr:colOff>453317</xdr:colOff>
      <xdr:row>13</xdr:row>
      <xdr:rowOff>167640</xdr:rowOff>
    </xdr:from>
    <xdr:to>
      <xdr:col>1</xdr:col>
      <xdr:colOff>590477</xdr:colOff>
      <xdr:row>15</xdr:row>
      <xdr:rowOff>53340</xdr:rowOff>
    </xdr:to>
    <xdr:sp macro="" textlink="">
      <xdr:nvSpPr>
        <xdr:cNvPr id="27" name="TextBox 26">
          <a:extLst>
            <a:ext uri="{FF2B5EF4-FFF2-40B4-BE49-F238E27FC236}">
              <a16:creationId xmlns:a16="http://schemas.microsoft.com/office/drawing/2014/main" id="{B2D4D220-B180-4E48-969E-3EF26D1B42C5}"/>
            </a:ext>
          </a:extLst>
        </xdr:cNvPr>
        <xdr:cNvSpPr txBox="1"/>
      </xdr:nvSpPr>
      <xdr:spPr>
        <a:xfrm>
          <a:off x="453317" y="2548890"/>
          <a:ext cx="807573" cy="25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20000"/>
                  <a:lumOff val="80000"/>
                </a:schemeClr>
              </a:solidFill>
              <a:latin typeface="Segoe UI Black" panose="020B0A02040204020203" pitchFamily="34" charset="0"/>
              <a:ea typeface="Segoe UI Black" panose="020B0A02040204020203" pitchFamily="34" charset="0"/>
              <a:cs typeface="Lalezar" panose="00000500000000000000" pitchFamily="50" charset="-78"/>
            </a:rPr>
            <a:t>Duration</a:t>
          </a:r>
        </a:p>
      </xdr:txBody>
    </xdr:sp>
    <xdr:clientData/>
  </xdr:twoCellAnchor>
  <xdr:twoCellAnchor>
    <xdr:from>
      <xdr:col>0</xdr:col>
      <xdr:colOff>491417</xdr:colOff>
      <xdr:row>17</xdr:row>
      <xdr:rowOff>76200</xdr:rowOff>
    </xdr:from>
    <xdr:to>
      <xdr:col>1</xdr:col>
      <xdr:colOff>552377</xdr:colOff>
      <xdr:row>18</xdr:row>
      <xdr:rowOff>83820</xdr:rowOff>
    </xdr:to>
    <xdr:sp macro="" textlink="Sheet4!C12">
      <xdr:nvSpPr>
        <xdr:cNvPr id="29" name="TextBox 28">
          <a:extLst>
            <a:ext uri="{FF2B5EF4-FFF2-40B4-BE49-F238E27FC236}">
              <a16:creationId xmlns:a16="http://schemas.microsoft.com/office/drawing/2014/main" id="{2654BC3E-BF3C-47ED-8702-FF0EC7658B22}"/>
            </a:ext>
          </a:extLst>
        </xdr:cNvPr>
        <xdr:cNvSpPr txBox="1"/>
      </xdr:nvSpPr>
      <xdr:spPr>
        <a:xfrm>
          <a:off x="491417" y="3190142"/>
          <a:ext cx="731373" cy="19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2613F2-A49C-45DC-A7E3-2B3314C1CC3F}" type="TxLink">
            <a:rPr lang="en-US" sz="1100" b="0" i="0" u="none" strike="noStrike">
              <a:solidFill>
                <a:schemeClr val="accent6">
                  <a:lumMod val="20000"/>
                  <a:lumOff val="80000"/>
                </a:schemeClr>
              </a:solidFill>
              <a:latin typeface="Aptos"/>
              <a:ea typeface="+mn-ea"/>
              <a:cs typeface="+mn-cs"/>
            </a:rPr>
            <a:pPr marL="0" indent="0" algn="ctr"/>
            <a:t>18,209</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xdr:from>
      <xdr:col>0</xdr:col>
      <xdr:colOff>137160</xdr:colOff>
      <xdr:row>20</xdr:row>
      <xdr:rowOff>7620</xdr:rowOff>
    </xdr:from>
    <xdr:to>
      <xdr:col>2</xdr:col>
      <xdr:colOff>205740</xdr:colOff>
      <xdr:row>25</xdr:row>
      <xdr:rowOff>7620</xdr:rowOff>
    </xdr:to>
    <xdr:sp macro="" textlink="Sheet4!D4">
      <xdr:nvSpPr>
        <xdr:cNvPr id="30" name="Rectangle 29">
          <a:extLst>
            <a:ext uri="{FF2B5EF4-FFF2-40B4-BE49-F238E27FC236}">
              <a16:creationId xmlns:a16="http://schemas.microsoft.com/office/drawing/2014/main" id="{5D9E7CC5-9C00-4F4A-93F7-062754A3DBFB}"/>
            </a:ext>
          </a:extLst>
        </xdr:cNvPr>
        <xdr:cNvSpPr/>
      </xdr:nvSpPr>
      <xdr:spPr>
        <a:xfrm>
          <a:off x="137160" y="3665220"/>
          <a:ext cx="1409700"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F8353D-EBD1-43F7-9613-85DC56919772}" type="TxLink">
            <a:rPr lang="en-US" sz="2400" b="0" i="0" u="none" strike="noStrike">
              <a:solidFill>
                <a:schemeClr val="bg1"/>
              </a:solidFill>
              <a:latin typeface="Aptos"/>
              <a:ea typeface="+mn-ea"/>
              <a:cs typeface="+mn-cs"/>
            </a:rPr>
            <a:pPr marL="0" indent="0" algn="ctr"/>
            <a:t>3.9</a:t>
          </a:fld>
          <a:endParaRPr lang="en-US" sz="2400" b="0" i="0" u="none" strike="noStrike">
            <a:solidFill>
              <a:schemeClr val="bg1"/>
            </a:solidFill>
            <a:latin typeface="Aptos"/>
            <a:ea typeface="+mn-ea"/>
            <a:cs typeface="+mn-cs"/>
          </a:endParaRPr>
        </a:p>
      </xdr:txBody>
    </xdr:sp>
    <xdr:clientData/>
  </xdr:twoCellAnchor>
  <xdr:twoCellAnchor>
    <xdr:from>
      <xdr:col>0</xdr:col>
      <xdr:colOff>342900</xdr:colOff>
      <xdr:row>20</xdr:row>
      <xdr:rowOff>7620</xdr:rowOff>
    </xdr:from>
    <xdr:to>
      <xdr:col>2</xdr:col>
      <xdr:colOff>30480</xdr:colOff>
      <xdr:row>21</xdr:row>
      <xdr:rowOff>76200</xdr:rowOff>
    </xdr:to>
    <xdr:sp macro="" textlink="">
      <xdr:nvSpPr>
        <xdr:cNvPr id="31" name="TextBox 30">
          <a:extLst>
            <a:ext uri="{FF2B5EF4-FFF2-40B4-BE49-F238E27FC236}">
              <a16:creationId xmlns:a16="http://schemas.microsoft.com/office/drawing/2014/main" id="{CABA24E6-6061-49B4-8076-9EEBAC801FF5}"/>
            </a:ext>
          </a:extLst>
        </xdr:cNvPr>
        <xdr:cNvSpPr txBox="1"/>
      </xdr:nvSpPr>
      <xdr:spPr>
        <a:xfrm>
          <a:off x="342900" y="3671082"/>
          <a:ext cx="1028407" cy="25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20000"/>
                  <a:lumOff val="80000"/>
                </a:schemeClr>
              </a:solidFill>
              <a:latin typeface="Segoe UI Black" panose="020B0A02040204020203" pitchFamily="34" charset="0"/>
              <a:ea typeface="Segoe UI Black" panose="020B0A02040204020203" pitchFamily="34" charset="0"/>
              <a:cs typeface="Lalezar" panose="00000500000000000000" pitchFamily="50" charset="-78"/>
            </a:rPr>
            <a:t>Avg.Rating</a:t>
          </a:r>
        </a:p>
      </xdr:txBody>
    </xdr:sp>
    <xdr:clientData/>
  </xdr:twoCellAnchor>
  <xdr:twoCellAnchor>
    <xdr:from>
      <xdr:col>0</xdr:col>
      <xdr:colOff>491417</xdr:colOff>
      <xdr:row>23</xdr:row>
      <xdr:rowOff>129540</xdr:rowOff>
    </xdr:from>
    <xdr:to>
      <xdr:col>1</xdr:col>
      <xdr:colOff>552377</xdr:colOff>
      <xdr:row>24</xdr:row>
      <xdr:rowOff>137160</xdr:rowOff>
    </xdr:to>
    <xdr:sp macro="" textlink="Sheet4!D12">
      <xdr:nvSpPr>
        <xdr:cNvPr id="33" name="TextBox 32">
          <a:extLst>
            <a:ext uri="{FF2B5EF4-FFF2-40B4-BE49-F238E27FC236}">
              <a16:creationId xmlns:a16="http://schemas.microsoft.com/office/drawing/2014/main" id="{4B38628D-3CDB-4943-93E0-8C2D2E9D8E4E}"/>
            </a:ext>
          </a:extLst>
        </xdr:cNvPr>
        <xdr:cNvSpPr txBox="1"/>
      </xdr:nvSpPr>
      <xdr:spPr>
        <a:xfrm>
          <a:off x="491417" y="4342521"/>
          <a:ext cx="731373" cy="19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2F8D3D-2065-41F5-8DE5-1BD821F9DC5F}" type="TxLink">
            <a:rPr lang="en-US" sz="1100" b="0" i="0" u="none" strike="noStrike">
              <a:solidFill>
                <a:schemeClr val="accent6">
                  <a:lumMod val="20000"/>
                  <a:lumOff val="80000"/>
                </a:schemeClr>
              </a:solidFill>
              <a:latin typeface="Aptos"/>
              <a:ea typeface="+mn-ea"/>
              <a:cs typeface="+mn-cs"/>
            </a:rPr>
            <a:pPr marL="0" indent="0" algn="ctr"/>
            <a:t>3.9</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xdr:from>
      <xdr:col>0</xdr:col>
      <xdr:colOff>137160</xdr:colOff>
      <xdr:row>26</xdr:row>
      <xdr:rowOff>38100</xdr:rowOff>
    </xdr:from>
    <xdr:to>
      <xdr:col>2</xdr:col>
      <xdr:colOff>205740</xdr:colOff>
      <xdr:row>31</xdr:row>
      <xdr:rowOff>38100</xdr:rowOff>
    </xdr:to>
    <xdr:sp macro="" textlink="Sheet4!E4">
      <xdr:nvSpPr>
        <xdr:cNvPr id="34" name="Rectangle 33">
          <a:extLst>
            <a:ext uri="{FF2B5EF4-FFF2-40B4-BE49-F238E27FC236}">
              <a16:creationId xmlns:a16="http://schemas.microsoft.com/office/drawing/2014/main" id="{3028F429-B1C8-4202-99CB-3DE81576F949}"/>
            </a:ext>
          </a:extLst>
        </xdr:cNvPr>
        <xdr:cNvSpPr/>
      </xdr:nvSpPr>
      <xdr:spPr>
        <a:xfrm>
          <a:off x="137160" y="4792980"/>
          <a:ext cx="1409700"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A6BA74-EC84-48E5-BAD6-AF2980A5CCDF}" type="TxLink">
            <a:rPr lang="en-US" sz="2400" b="0" i="0" u="none" strike="noStrike">
              <a:solidFill>
                <a:schemeClr val="bg1"/>
              </a:solidFill>
              <a:latin typeface="Aptos"/>
              <a:ea typeface="+mn-ea"/>
              <a:cs typeface="+mn-cs"/>
            </a:rPr>
            <a:pPr marL="0" indent="0" algn="ctr"/>
            <a:t>307</a:t>
          </a:fld>
          <a:endParaRPr lang="en-US" sz="2400" b="0" i="0" u="none" strike="noStrike">
            <a:solidFill>
              <a:schemeClr val="bg1"/>
            </a:solidFill>
            <a:latin typeface="Aptos"/>
            <a:ea typeface="+mn-ea"/>
            <a:cs typeface="+mn-cs"/>
          </a:endParaRPr>
        </a:p>
      </xdr:txBody>
    </xdr:sp>
    <xdr:clientData/>
  </xdr:twoCellAnchor>
  <xdr:twoCellAnchor>
    <xdr:from>
      <xdr:col>0</xdr:col>
      <xdr:colOff>322385</xdr:colOff>
      <xdr:row>26</xdr:row>
      <xdr:rowOff>38100</xdr:rowOff>
    </xdr:from>
    <xdr:to>
      <xdr:col>2</xdr:col>
      <xdr:colOff>129540</xdr:colOff>
      <xdr:row>27</xdr:row>
      <xdr:rowOff>106680</xdr:rowOff>
    </xdr:to>
    <xdr:sp macro="" textlink="">
      <xdr:nvSpPr>
        <xdr:cNvPr id="35" name="TextBox 34">
          <a:extLst>
            <a:ext uri="{FF2B5EF4-FFF2-40B4-BE49-F238E27FC236}">
              <a16:creationId xmlns:a16="http://schemas.microsoft.com/office/drawing/2014/main" id="{F088F18E-A2CB-4501-B653-D26197007950}"/>
            </a:ext>
          </a:extLst>
        </xdr:cNvPr>
        <xdr:cNvSpPr txBox="1"/>
      </xdr:nvSpPr>
      <xdr:spPr>
        <a:xfrm>
          <a:off x="322385" y="4800600"/>
          <a:ext cx="1147982" cy="25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20000"/>
                  <a:lumOff val="80000"/>
                </a:schemeClr>
              </a:solidFill>
              <a:latin typeface="Segoe UI Black" panose="020B0A02040204020203" pitchFamily="34" charset="0"/>
              <a:ea typeface="Segoe UI Black" panose="020B0A02040204020203" pitchFamily="34" charset="0"/>
              <a:cs typeface="Lalezar" panose="00000500000000000000" pitchFamily="50" charset="-78"/>
            </a:rPr>
            <a:t>Happy Callers</a:t>
          </a:r>
        </a:p>
      </xdr:txBody>
    </xdr:sp>
    <xdr:clientData/>
  </xdr:twoCellAnchor>
  <xdr:twoCellAnchor>
    <xdr:from>
      <xdr:col>0</xdr:col>
      <xdr:colOff>491417</xdr:colOff>
      <xdr:row>29</xdr:row>
      <xdr:rowOff>160020</xdr:rowOff>
    </xdr:from>
    <xdr:to>
      <xdr:col>1</xdr:col>
      <xdr:colOff>552377</xdr:colOff>
      <xdr:row>30</xdr:row>
      <xdr:rowOff>167640</xdr:rowOff>
    </xdr:to>
    <xdr:sp macro="" textlink="Sheet4!E12">
      <xdr:nvSpPr>
        <xdr:cNvPr id="37" name="TextBox 36">
          <a:extLst>
            <a:ext uri="{FF2B5EF4-FFF2-40B4-BE49-F238E27FC236}">
              <a16:creationId xmlns:a16="http://schemas.microsoft.com/office/drawing/2014/main" id="{6F80C952-C34C-494F-9F89-6A62918C702C}"/>
            </a:ext>
          </a:extLst>
        </xdr:cNvPr>
        <xdr:cNvSpPr txBox="1"/>
      </xdr:nvSpPr>
      <xdr:spPr>
        <a:xfrm>
          <a:off x="491417" y="5472039"/>
          <a:ext cx="731373" cy="19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99A85B-10E6-46A8-B751-DEBF0638BDCD}" type="TxLink">
            <a:rPr lang="en-US" sz="1100" b="0" i="0" u="none" strike="noStrike">
              <a:solidFill>
                <a:schemeClr val="accent6">
                  <a:lumMod val="20000"/>
                  <a:lumOff val="80000"/>
                </a:schemeClr>
              </a:solidFill>
              <a:latin typeface="Aptos"/>
              <a:ea typeface="+mn-ea"/>
              <a:cs typeface="+mn-cs"/>
            </a:rPr>
            <a:pPr marL="0" indent="0" algn="ctr"/>
            <a:t>51</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editAs="oneCell">
    <xdr:from>
      <xdr:col>0</xdr:col>
      <xdr:colOff>144188</xdr:colOff>
      <xdr:row>7</xdr:row>
      <xdr:rowOff>99061</xdr:rowOff>
    </xdr:from>
    <xdr:to>
      <xdr:col>0</xdr:col>
      <xdr:colOff>436775</xdr:colOff>
      <xdr:row>9</xdr:row>
      <xdr:rowOff>15240</xdr:rowOff>
    </xdr:to>
    <xdr:pic>
      <xdr:nvPicPr>
        <xdr:cNvPr id="6" name="Graphic 5" descr="Shopping cart with solid fill">
          <a:extLst>
            <a:ext uri="{FF2B5EF4-FFF2-40B4-BE49-F238E27FC236}">
              <a16:creationId xmlns:a16="http://schemas.microsoft.com/office/drawing/2014/main" id="{C3DD9405-03CF-45F1-9C03-B0477F7C571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4188" y="1381273"/>
          <a:ext cx="292587" cy="282525"/>
        </a:xfrm>
        <a:prstGeom prst="rect">
          <a:avLst/>
        </a:prstGeom>
      </xdr:spPr>
    </xdr:pic>
    <xdr:clientData/>
  </xdr:twoCellAnchor>
  <xdr:twoCellAnchor editAs="oneCell">
    <xdr:from>
      <xdr:col>0</xdr:col>
      <xdr:colOff>164751</xdr:colOff>
      <xdr:row>14</xdr:row>
      <xdr:rowOff>2</xdr:rowOff>
    </xdr:from>
    <xdr:to>
      <xdr:col>0</xdr:col>
      <xdr:colOff>416211</xdr:colOff>
      <xdr:row>15</xdr:row>
      <xdr:rowOff>65532</xdr:rowOff>
    </xdr:to>
    <xdr:pic>
      <xdr:nvPicPr>
        <xdr:cNvPr id="9" name="Graphic 8" descr="Hourglass Finished with solid fill">
          <a:extLst>
            <a:ext uri="{FF2B5EF4-FFF2-40B4-BE49-F238E27FC236}">
              <a16:creationId xmlns:a16="http://schemas.microsoft.com/office/drawing/2014/main" id="{F6AEA5F9-9FFA-40A0-AE05-FA0BF3BCAE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4751" y="2564425"/>
          <a:ext cx="251460" cy="248703"/>
        </a:xfrm>
        <a:prstGeom prst="rect">
          <a:avLst/>
        </a:prstGeom>
      </xdr:spPr>
    </xdr:pic>
    <xdr:clientData/>
  </xdr:twoCellAnchor>
  <xdr:twoCellAnchor editAs="oneCell">
    <xdr:from>
      <xdr:col>0</xdr:col>
      <xdr:colOff>130405</xdr:colOff>
      <xdr:row>20</xdr:row>
      <xdr:rowOff>1</xdr:rowOff>
    </xdr:from>
    <xdr:to>
      <xdr:col>0</xdr:col>
      <xdr:colOff>450558</xdr:colOff>
      <xdr:row>21</xdr:row>
      <xdr:rowOff>129541</xdr:rowOff>
    </xdr:to>
    <xdr:pic>
      <xdr:nvPicPr>
        <xdr:cNvPr id="10" name="Graphic 9" descr="Rating Star with solid fill">
          <a:extLst>
            <a:ext uri="{FF2B5EF4-FFF2-40B4-BE49-F238E27FC236}">
              <a16:creationId xmlns:a16="http://schemas.microsoft.com/office/drawing/2014/main" id="{5946D9BD-38F5-41B4-A77A-AD3984653AE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130405" y="3663463"/>
          <a:ext cx="320153" cy="312713"/>
        </a:xfrm>
        <a:prstGeom prst="rect">
          <a:avLst/>
        </a:prstGeom>
      </xdr:spPr>
    </xdr:pic>
    <xdr:clientData/>
  </xdr:twoCellAnchor>
  <xdr:twoCellAnchor editAs="oneCell">
    <xdr:from>
      <xdr:col>0</xdr:col>
      <xdr:colOff>146971</xdr:colOff>
      <xdr:row>26</xdr:row>
      <xdr:rowOff>57297</xdr:rowOff>
    </xdr:from>
    <xdr:to>
      <xdr:col>0</xdr:col>
      <xdr:colOff>404684</xdr:colOff>
      <xdr:row>27</xdr:row>
      <xdr:rowOff>125877</xdr:rowOff>
    </xdr:to>
    <xdr:pic>
      <xdr:nvPicPr>
        <xdr:cNvPr id="11" name="Graphic 10" descr="Star-struck face outline with solid fill">
          <a:extLst>
            <a:ext uri="{FF2B5EF4-FFF2-40B4-BE49-F238E27FC236}">
              <a16:creationId xmlns:a16="http://schemas.microsoft.com/office/drawing/2014/main" id="{E9D9B392-0884-4349-B8FF-5C85EAB5DD0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6971" y="4819797"/>
          <a:ext cx="257713" cy="251753"/>
        </a:xfrm>
        <a:prstGeom prst="rect">
          <a:avLst/>
        </a:prstGeom>
      </xdr:spPr>
    </xdr:pic>
    <xdr:clientData/>
  </xdr:twoCellAnchor>
  <xdr:twoCellAnchor>
    <xdr:from>
      <xdr:col>3</xdr:col>
      <xdr:colOff>0</xdr:colOff>
      <xdr:row>0</xdr:row>
      <xdr:rowOff>136208</xdr:rowOff>
    </xdr:from>
    <xdr:to>
      <xdr:col>9</xdr:col>
      <xdr:colOff>571500</xdr:colOff>
      <xdr:row>14</xdr:row>
      <xdr:rowOff>66675</xdr:rowOff>
    </xdr:to>
    <xdr:graphicFrame macro="">
      <xdr:nvGraphicFramePr>
        <xdr:cNvPr id="13" name="Chart 12">
          <a:extLst>
            <a:ext uri="{FF2B5EF4-FFF2-40B4-BE49-F238E27FC236}">
              <a16:creationId xmlns:a16="http://schemas.microsoft.com/office/drawing/2014/main" id="{4C58CC40-7E34-480B-80C7-97F16B4DC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15</xdr:row>
      <xdr:rowOff>142875</xdr:rowOff>
    </xdr:from>
    <xdr:to>
      <xdr:col>10</xdr:col>
      <xdr:colOff>571500</xdr:colOff>
      <xdr:row>31</xdr:row>
      <xdr:rowOff>142875</xdr:rowOff>
    </xdr:to>
    <xdr:sp macro="" textlink="">
      <xdr:nvSpPr>
        <xdr:cNvPr id="15" name="Rectangle 14">
          <a:extLst>
            <a:ext uri="{FF2B5EF4-FFF2-40B4-BE49-F238E27FC236}">
              <a16:creationId xmlns:a16="http://schemas.microsoft.com/office/drawing/2014/main" id="{50D0FD83-6B14-12F0-3C84-A33CF8D80A74}"/>
            </a:ext>
          </a:extLst>
        </xdr:cNvPr>
        <xdr:cNvSpPr/>
      </xdr:nvSpPr>
      <xdr:spPr>
        <a:xfrm>
          <a:off x="2000250" y="2857500"/>
          <a:ext cx="5238750" cy="2895600"/>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15</xdr:row>
      <xdr:rowOff>152400</xdr:rowOff>
    </xdr:from>
    <xdr:to>
      <xdr:col>6</xdr:col>
      <xdr:colOff>571500</xdr:colOff>
      <xdr:row>31</xdr:row>
      <xdr:rowOff>0</xdr:rowOff>
    </xdr:to>
    <xdr:graphicFrame macro="">
      <xdr:nvGraphicFramePr>
        <xdr:cNvPr id="8" name="Chart 7">
          <a:extLst>
            <a:ext uri="{FF2B5EF4-FFF2-40B4-BE49-F238E27FC236}">
              <a16:creationId xmlns:a16="http://schemas.microsoft.com/office/drawing/2014/main" id="{0CBDDAAF-76EA-468C-8F41-140838A93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395421</xdr:colOff>
      <xdr:row>15</xdr:row>
      <xdr:rowOff>152400</xdr:rowOff>
    </xdr:from>
    <xdr:to>
      <xdr:col>10</xdr:col>
      <xdr:colOff>342900</xdr:colOff>
      <xdr:row>31</xdr:row>
      <xdr:rowOff>0</xdr:rowOff>
    </xdr:to>
    <xdr:graphicFrame macro="">
      <xdr:nvGraphicFramePr>
        <xdr:cNvPr id="14" name="Chart 13">
          <a:extLst>
            <a:ext uri="{FF2B5EF4-FFF2-40B4-BE49-F238E27FC236}">
              <a16:creationId xmlns:a16="http://schemas.microsoft.com/office/drawing/2014/main" id="{23EE6D0B-5542-4092-AA87-0F2F076CA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95250</xdr:colOff>
      <xdr:row>0</xdr:row>
      <xdr:rowOff>76200</xdr:rowOff>
    </xdr:from>
    <xdr:to>
      <xdr:col>19</xdr:col>
      <xdr:colOff>409575</xdr:colOff>
      <xdr:row>14</xdr:row>
      <xdr:rowOff>28575</xdr:rowOff>
    </xdr:to>
    <xdr:graphicFrame macro="">
      <xdr:nvGraphicFramePr>
        <xdr:cNvPr id="17" name="Chart 16">
          <a:extLst>
            <a:ext uri="{FF2B5EF4-FFF2-40B4-BE49-F238E27FC236}">
              <a16:creationId xmlns:a16="http://schemas.microsoft.com/office/drawing/2014/main" id="{58D087B4-D9C1-49B6-87BC-0A64AD41A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485775</xdr:colOff>
      <xdr:row>0</xdr:row>
      <xdr:rowOff>85725</xdr:rowOff>
    </xdr:from>
    <xdr:to>
      <xdr:col>23</xdr:col>
      <xdr:colOff>552450</xdr:colOff>
      <xdr:row>14</xdr:row>
      <xdr:rowOff>76200</xdr:rowOff>
    </xdr:to>
    <xdr:graphicFrame macro="">
      <xdr:nvGraphicFramePr>
        <xdr:cNvPr id="18" name="Chart 17">
          <a:extLst>
            <a:ext uri="{FF2B5EF4-FFF2-40B4-BE49-F238E27FC236}">
              <a16:creationId xmlns:a16="http://schemas.microsoft.com/office/drawing/2014/main" id="{EF88BE69-3898-4041-BE56-90B2B1874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69.711297337963" backgroundQuery="1" createdVersion="8" refreshedVersion="8" minRefreshableVersion="3" recordCount="0" supportSubquery="1" supportAdvancedDrill="1" xr:uid="{AB27EC53-FC9F-4E76-B61D-556B184687AE}">
  <cacheSource type="external" connectionId="1"/>
  <cacheFields count="4">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1.307145486113" backgroundQuery="1" createdVersion="8" refreshedVersion="8" minRefreshableVersion="3" recordCount="0" supportSubquery="1" supportAdvancedDrill="1" xr:uid="{109B87AA-F88B-41D6-96E4-0C2EEE190D0F}">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69.711295833331" backgroundQuery="1" createdVersion="8" refreshedVersion="8" minRefreshableVersion="3" recordCount="0" supportSubquery="1" supportAdvancedDrill="1" xr:uid="{0AFA3270-454F-4152-BDED-848022777668}">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32067523148" backgroundQuery="1" createdVersion="8" refreshedVersion="8" minRefreshableVersion="3" recordCount="0" supportSubquery="1" supportAdvancedDrill="1" xr:uid="{68EDFFD6-7BC0-4F1C-9160-8082DDBB9AEC}">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340163078705" backgroundQuery="1" createdVersion="8" refreshedVersion="8" minRefreshableVersion="3" recordCount="0" supportSubquery="1" supportAdvancedDrill="1" xr:uid="{C8F4F896-9CFE-4095-B15E-C1E569858F3F}">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694652893515" backgroundQuery="1" createdVersion="8" refreshedVersion="8" minRefreshableVersion="3" recordCount="0" supportSubquery="1" supportAdvancedDrill="1" xr:uid="{0A08AB8D-48D4-4B3F-94AD-E07C937697C8}">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694653587962" backgroundQuery="1" createdVersion="8" refreshedVersion="8" minRefreshableVersion="3" recordCount="0" supportSubquery="1" supportAdvancedDrill="1" xr:uid="{6CC3B5E7-B782-4BA0-B38B-9545F034B300}">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694654166669" backgroundQuery="1" createdVersion="8" refreshedVersion="8" minRefreshableVersion="3" recordCount="0" supportSubquery="1" supportAdvancedDrill="1" xr:uid="{29373A1B-96FA-42AD-9F99-CD8927F9C54E}">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69465474537" backgroundQuery="1" createdVersion="8" refreshedVersion="8" minRefreshableVersion="3" recordCount="0" supportSubquery="1" supportAdvancedDrill="1" xr:uid="{0B2B97A9-261F-4BB8-9A4C-F573DFB0C636}">
  <cacheSource type="external" connectionId="1"/>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72.694655092593" backgroundQuery="1" createdVersion="8" refreshedVersion="8" minRefreshableVersion="3" recordCount="0" supportSubquery="1" supportAdvancedDrill="1" xr:uid="{8DE74D80-E1F9-4EA4-9552-8C56E74E1CD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reza gandom" refreshedDate="45969.711288425926" backgroundQuery="1" createdVersion="3" refreshedVersion="8" minRefreshableVersion="3" recordCount="0" supportSubquery="1" supportAdvancedDrill="1" xr:uid="{5B718DFD-BF53-47CA-824B-8223D7C4F87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71944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33AEA9-14DC-489F-87EC-CA058FB22A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D4841-0446-49A5-9832-20D1D78E4BBC}"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C4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A3D90-B97E-4874-8BC6-D1707B58F1E4}" name="rep pivot"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AFC778-7292-4219-9993-784E06F3C786}" name="rep amount"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A76:G9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99D6F-3B96-46B7-8FCA-EF0551EEF278}" name="rep satisfaction" cacheId="1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4:B6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D1F009-F80B-4942-8D69-6FB8FB9F2AE3}" name="summary piov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14FF93-CD40-481A-8997-396E8A6F5F15}" name="weekly trend" cacheId="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F18:G2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4">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B61723-6652-48C7-AA4D-23B2F0E21313}" name="selected rep"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26">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9C22CF-61D5-4869-909B-B9C3E6CE3433}" name="PivotTable1"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10">
    <chartFormat chart="4"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1"/>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 count="1" selected="0">
            <x v="10"/>
          </reference>
        </references>
      </pivotArea>
    </chartFormat>
    <chartFormat chart="24" format="7">
      <pivotArea type="data" outline="0" fieldPosition="0">
        <references count="2">
          <reference field="4294967294" count="1" selected="0">
            <x v="0"/>
          </reference>
          <reference field="2" count="1" selected="0">
            <x v="8"/>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7D604-FF0C-4481-8B8D-C864ECAFFFE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4:D59"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E3F2D0B-BB7C-47B2-851E-C48508F93E31}" sourceName="[calls].[Representative]">
  <pivotTables>
    <pivotTable tabId="9" name="rep pivot"/>
    <pivotTable tabId="9" name="PivotTable1"/>
    <pivotTable tabId="9" name="weekly trend"/>
    <pivotTable tabId="9" name="selected rep"/>
    <pivotTable tabId="9" name="rep satisfaction"/>
  </pivotTables>
  <data>
    <olap pivotCacheId="200719449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DE35CC2-67D1-4956-845D-B2982A703371}" cache="Slicer_Representative" caption="Representative" level="1"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5"/>
    <tableColumn id="5" xr3:uid="{5A35565E-8707-4DED-AD15-A0669D67B382}" name="Date of Call" dataDxfId="24"/>
    <tableColumn id="6" xr3:uid="{F2E4F158-B41F-47BC-8DF8-DFCADFEE4E40}" name="Purchase Amount"/>
    <tableColumn id="7" xr3:uid="{04B291B5-47BD-4F78-8FD8-D1551CCA6BD9}" name="Satisfaction Rating"/>
    <tableColumn id="8" xr3:uid="{6E4123C0-0B17-43B8-A142-A1E540CE974C}" name="FY" dataDxfId="23">
      <calculatedColumnFormula>IF(MONTH(calls[[#This Row],[Date of Call]])&lt;=6, YEAR(calls[[#This Row],[Date of Call]]), YEAR(calls[[#This Row],[Date of Call]])+1)</calculatedColumnFormula>
    </tableColumn>
    <tableColumn id="9" xr3:uid="{199FA271-5E9B-46CE-9BC6-2801F92CD17E}" name="Day of week" dataDxfId="22">
      <calculatedColumnFormula>TEXT(calls[[#This Row],[Date of Call]],"DDDD")</calculatedColumnFormula>
    </tableColumn>
    <tableColumn id="10" xr3:uid="{328CDB09-95B8-4D5E-9ED9-EF0D363735A1}" name="Duration Bucket" dataDxfId="2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9" headerRowBorderDxfId="18" tableBorderDxfId="17" totalsRowBorderDxfId="16">
  <autoFilter ref="Q3:T18" xr:uid="{27158F51-A707-4171-8A04-81FB0AABCBA5}"/>
  <tableColumns count="4">
    <tableColumn id="1" xr3:uid="{02688061-6A8C-4E23-B7FF-D00CD8B58CAC}" name="Customer ID" dataDxfId="15"/>
    <tableColumn id="2" xr3:uid="{771678B6-DB44-426B-9874-B4E421A440D5}" name="Gedner" dataDxfId="14"/>
    <tableColumn id="3" xr3:uid="{B0D41C62-587E-494D-B49A-603F2C05F8D3}" name="Age" dataDxfId="13"/>
    <tableColumn id="4" xr3:uid="{663F92D6-FE31-4D81-9E01-8D066DDC8A88}" name="City"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8ADB0-07FE-405B-9D6A-28CB9FFC01C4}">
  <dimension ref="A3:D4"/>
  <sheetViews>
    <sheetView workbookViewId="0">
      <selection activeCell="C4" sqref="C4"/>
    </sheetView>
  </sheetViews>
  <sheetFormatPr defaultRowHeight="14.4" x14ac:dyDescent="0.3"/>
  <cols>
    <col min="1" max="1" width="8.8984375" bestFit="1" customWidth="1"/>
    <col min="2" max="2" width="11.19921875" bestFit="1" customWidth="1"/>
    <col min="3" max="3" width="11.8984375" bestFit="1" customWidth="1"/>
    <col min="4" max="4" width="8.8984375" bestFit="1" customWidth="1"/>
  </cols>
  <sheetData>
    <row r="3" spans="1:4" x14ac:dyDescent="0.3">
      <c r="A3" t="s">
        <v>1041</v>
      </c>
      <c r="B3" t="s">
        <v>1042</v>
      </c>
      <c r="C3" t="s">
        <v>1043</v>
      </c>
      <c r="D3" t="s">
        <v>1044</v>
      </c>
    </row>
    <row r="4" spans="1:4" x14ac:dyDescent="0.3">
      <c r="A4" s="21">
        <v>1000</v>
      </c>
      <c r="B4" s="22">
        <v>96623</v>
      </c>
      <c r="C4" s="21">
        <v>89850</v>
      </c>
      <c r="D4" s="23">
        <v>3.8854000000000033</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C532-7717-4847-B1AE-4BF19873418F}">
  <dimension ref="A3:J95"/>
  <sheetViews>
    <sheetView topLeftCell="A32" workbookViewId="0">
      <selection activeCell="J53" sqref="J53"/>
    </sheetView>
  </sheetViews>
  <sheetFormatPr defaultRowHeight="14.4" x14ac:dyDescent="0.3"/>
  <cols>
    <col min="1" max="1" width="12.19921875" bestFit="1" customWidth="1"/>
    <col min="2" max="2" width="8.8984375" bestFit="1" customWidth="1"/>
    <col min="3" max="3" width="9.8984375" bestFit="1" customWidth="1"/>
    <col min="4" max="4" width="8.8984375" bestFit="1" customWidth="1"/>
    <col min="5" max="5" width="6.59765625" bestFit="1" customWidth="1"/>
    <col min="6" max="6" width="12.19921875" bestFit="1" customWidth="1"/>
    <col min="7" max="7" width="8.8984375" bestFit="1" customWidth="1"/>
    <col min="8" max="8" width="12.19921875" bestFit="1" customWidth="1"/>
    <col min="9" max="9" width="10.3984375" bestFit="1" customWidth="1"/>
    <col min="10" max="10" width="13.09765625" bestFit="1" customWidth="1"/>
  </cols>
  <sheetData>
    <row r="3" spans="1:5" x14ac:dyDescent="0.3">
      <c r="A3" t="s">
        <v>1041</v>
      </c>
      <c r="B3" t="s">
        <v>1042</v>
      </c>
      <c r="C3" t="s">
        <v>1043</v>
      </c>
      <c r="D3" t="s">
        <v>1044</v>
      </c>
      <c r="E3" t="s">
        <v>1045</v>
      </c>
    </row>
    <row r="4" spans="1:5" x14ac:dyDescent="0.3">
      <c r="A4" s="21">
        <v>1000</v>
      </c>
      <c r="B4" s="22">
        <v>96623</v>
      </c>
      <c r="C4" s="21">
        <v>89850</v>
      </c>
      <c r="D4" s="23">
        <v>3.8854000000000033</v>
      </c>
      <c r="E4" s="21">
        <v>307</v>
      </c>
    </row>
    <row r="11" spans="1:5" x14ac:dyDescent="0.3">
      <c r="A11" t="s">
        <v>1041</v>
      </c>
      <c r="B11" t="s">
        <v>1042</v>
      </c>
      <c r="C11" t="s">
        <v>1043</v>
      </c>
      <c r="D11" t="s">
        <v>1044</v>
      </c>
      <c r="E11" t="s">
        <v>1045</v>
      </c>
    </row>
    <row r="12" spans="1:5" x14ac:dyDescent="0.3">
      <c r="A12" s="21">
        <v>200</v>
      </c>
      <c r="B12" s="22">
        <v>20104</v>
      </c>
      <c r="C12" s="21">
        <v>18209</v>
      </c>
      <c r="D12" s="23">
        <v>3.8824999999999998</v>
      </c>
      <c r="E12" s="21">
        <v>51</v>
      </c>
    </row>
    <row r="17" spans="1:7" x14ac:dyDescent="0.3">
      <c r="A17" s="24" t="s">
        <v>1046</v>
      </c>
      <c r="B17" t="s">
        <v>1041</v>
      </c>
      <c r="C17" t="s">
        <v>1060</v>
      </c>
    </row>
    <row r="18" spans="1:7" x14ac:dyDescent="0.3">
      <c r="A18" s="25" t="s">
        <v>1048</v>
      </c>
      <c r="B18" s="21">
        <v>21</v>
      </c>
      <c r="C18" s="21">
        <v>21</v>
      </c>
      <c r="F18" s="24" t="s">
        <v>1046</v>
      </c>
      <c r="G18" t="s">
        <v>1041</v>
      </c>
    </row>
    <row r="19" spans="1:7" x14ac:dyDescent="0.3">
      <c r="A19" s="25" t="s">
        <v>1049</v>
      </c>
      <c r="B19" s="21">
        <v>18</v>
      </c>
      <c r="C19" s="21">
        <v>18</v>
      </c>
      <c r="F19" s="25" t="s">
        <v>1064</v>
      </c>
      <c r="G19" s="21">
        <v>27</v>
      </c>
    </row>
    <row r="20" spans="1:7" x14ac:dyDescent="0.3">
      <c r="A20" s="25" t="s">
        <v>1050</v>
      </c>
      <c r="B20" s="21">
        <v>31</v>
      </c>
      <c r="C20" s="21">
        <v>31</v>
      </c>
      <c r="F20" s="25" t="s">
        <v>1062</v>
      </c>
      <c r="G20" s="21">
        <v>22</v>
      </c>
    </row>
    <row r="21" spans="1:7" x14ac:dyDescent="0.3">
      <c r="A21" s="25" t="s">
        <v>1051</v>
      </c>
      <c r="B21" s="21">
        <v>20</v>
      </c>
      <c r="C21" s="21">
        <v>20</v>
      </c>
      <c r="F21" s="25" t="s">
        <v>1066</v>
      </c>
      <c r="G21" s="21">
        <v>27</v>
      </c>
    </row>
    <row r="22" spans="1:7" x14ac:dyDescent="0.3">
      <c r="A22" s="25" t="s">
        <v>1052</v>
      </c>
      <c r="B22" s="21">
        <v>8</v>
      </c>
      <c r="C22" s="21">
        <v>8</v>
      </c>
      <c r="F22" s="25" t="s">
        <v>1067</v>
      </c>
      <c r="G22" s="21">
        <v>27</v>
      </c>
    </row>
    <row r="23" spans="1:7" x14ac:dyDescent="0.3">
      <c r="A23" s="25" t="s">
        <v>1053</v>
      </c>
      <c r="B23" s="21">
        <v>12</v>
      </c>
      <c r="C23" s="21">
        <v>12</v>
      </c>
      <c r="F23" s="25" t="s">
        <v>1065</v>
      </c>
      <c r="G23" s="21">
        <v>27</v>
      </c>
    </row>
    <row r="24" spans="1:7" x14ac:dyDescent="0.3">
      <c r="A24" s="25" t="s">
        <v>1054</v>
      </c>
      <c r="B24" s="21">
        <v>12</v>
      </c>
      <c r="C24" s="21">
        <v>12</v>
      </c>
      <c r="F24" s="25" t="s">
        <v>1061</v>
      </c>
      <c r="G24" s="21">
        <v>32</v>
      </c>
    </row>
    <row r="25" spans="1:7" x14ac:dyDescent="0.3">
      <c r="A25" s="25" t="s">
        <v>1055</v>
      </c>
      <c r="B25" s="21">
        <v>7</v>
      </c>
      <c r="C25" s="21">
        <v>7</v>
      </c>
      <c r="F25" s="25" t="s">
        <v>1063</v>
      </c>
      <c r="G25" s="21">
        <v>38</v>
      </c>
    </row>
    <row r="26" spans="1:7" x14ac:dyDescent="0.3">
      <c r="A26" s="25" t="s">
        <v>1056</v>
      </c>
      <c r="B26" s="21">
        <v>20</v>
      </c>
      <c r="C26" s="21">
        <v>20</v>
      </c>
      <c r="F26" s="25" t="s">
        <v>1047</v>
      </c>
      <c r="G26" s="21">
        <v>200</v>
      </c>
    </row>
    <row r="27" spans="1:7" x14ac:dyDescent="0.3">
      <c r="A27" s="25" t="s">
        <v>1057</v>
      </c>
      <c r="B27" s="21">
        <v>24</v>
      </c>
      <c r="C27" s="21">
        <v>24</v>
      </c>
    </row>
    <row r="28" spans="1:7" x14ac:dyDescent="0.3">
      <c r="A28" s="25" t="s">
        <v>1058</v>
      </c>
      <c r="B28" s="21">
        <v>12</v>
      </c>
      <c r="C28" s="21">
        <v>12</v>
      </c>
    </row>
    <row r="29" spans="1:7" x14ac:dyDescent="0.3">
      <c r="A29" s="25" t="s">
        <v>1059</v>
      </c>
      <c r="B29" s="21">
        <v>15</v>
      </c>
      <c r="C29" s="21">
        <v>15</v>
      </c>
    </row>
    <row r="30" spans="1:7" x14ac:dyDescent="0.3">
      <c r="A30" s="25" t="s">
        <v>1047</v>
      </c>
      <c r="B30" s="21">
        <v>200</v>
      </c>
      <c r="C30" s="21">
        <v>200</v>
      </c>
    </row>
    <row r="33" spans="1:10" x14ac:dyDescent="0.3">
      <c r="I33" t="s">
        <v>1074</v>
      </c>
      <c r="J33" t="str">
        <f>A46</f>
        <v>R05</v>
      </c>
    </row>
    <row r="34" spans="1:10" x14ac:dyDescent="0.3">
      <c r="F34" t="s">
        <v>1068</v>
      </c>
    </row>
    <row r="35" spans="1:10" x14ac:dyDescent="0.3">
      <c r="A35" s="24" t="s">
        <v>1046</v>
      </c>
      <c r="B35" t="s">
        <v>1041</v>
      </c>
      <c r="C35" t="s">
        <v>1042</v>
      </c>
      <c r="F35" t="s">
        <v>1069</v>
      </c>
      <c r="G35" t="s">
        <v>1070</v>
      </c>
      <c r="H35" t="s">
        <v>1071</v>
      </c>
      <c r="I35" t="s">
        <v>1072</v>
      </c>
      <c r="J35" t="s">
        <v>1073</v>
      </c>
    </row>
    <row r="36" spans="1:10" x14ac:dyDescent="0.3">
      <c r="A36" s="25" t="s">
        <v>11</v>
      </c>
      <c r="B36" s="21">
        <v>189</v>
      </c>
      <c r="C36" s="22">
        <v>18415</v>
      </c>
      <c r="F36" t="str">
        <f>A36</f>
        <v>R01</v>
      </c>
      <c r="G36">
        <f>B36</f>
        <v>189</v>
      </c>
      <c r="H36" s="26">
        <f>C36</f>
        <v>18415</v>
      </c>
      <c r="I36" t="e">
        <f>IF(F36=$J$33,G36,NA())</f>
        <v>#N/A</v>
      </c>
      <c r="J36" t="e">
        <f>IF(F36=$J$33,H36,NA())</f>
        <v>#N/A</v>
      </c>
    </row>
    <row r="37" spans="1:10" x14ac:dyDescent="0.3">
      <c r="A37" s="25" t="s">
        <v>9</v>
      </c>
      <c r="B37" s="21">
        <v>218</v>
      </c>
      <c r="C37" s="22">
        <v>20581</v>
      </c>
      <c r="F37" t="str">
        <f t="shared" ref="F37:H40" si="0">A37</f>
        <v>R02</v>
      </c>
      <c r="G37">
        <f t="shared" si="0"/>
        <v>218</v>
      </c>
      <c r="H37" s="26">
        <f t="shared" si="0"/>
        <v>20581</v>
      </c>
      <c r="I37" t="e">
        <f t="shared" ref="I37:I40" si="1">IF(F37=$J$33,G37,NA())</f>
        <v>#N/A</v>
      </c>
      <c r="J37" t="e">
        <f t="shared" ref="J37:J40" si="2">IF(F37=$J$33,H37,NA())</f>
        <v>#N/A</v>
      </c>
    </row>
    <row r="38" spans="1:10" x14ac:dyDescent="0.3">
      <c r="A38" s="25" t="s">
        <v>6</v>
      </c>
      <c r="B38" s="21">
        <v>207</v>
      </c>
      <c r="C38" s="22">
        <v>20872</v>
      </c>
      <c r="F38" t="str">
        <f t="shared" si="0"/>
        <v>R03</v>
      </c>
      <c r="G38">
        <f t="shared" si="0"/>
        <v>207</v>
      </c>
      <c r="H38" s="26">
        <f t="shared" si="0"/>
        <v>20872</v>
      </c>
      <c r="I38" t="e">
        <f t="shared" si="1"/>
        <v>#N/A</v>
      </c>
      <c r="J38" t="e">
        <f t="shared" si="2"/>
        <v>#N/A</v>
      </c>
    </row>
    <row r="39" spans="1:10" x14ac:dyDescent="0.3">
      <c r="A39" s="25" t="s">
        <v>13</v>
      </c>
      <c r="B39" s="21">
        <v>186</v>
      </c>
      <c r="C39" s="22">
        <v>16651</v>
      </c>
      <c r="F39" t="str">
        <f t="shared" si="0"/>
        <v>R04</v>
      </c>
      <c r="G39">
        <f t="shared" si="0"/>
        <v>186</v>
      </c>
      <c r="H39" s="26">
        <f t="shared" si="0"/>
        <v>16651</v>
      </c>
      <c r="I39" t="e">
        <f t="shared" si="1"/>
        <v>#N/A</v>
      </c>
      <c r="J39" t="e">
        <f t="shared" si="2"/>
        <v>#N/A</v>
      </c>
    </row>
    <row r="40" spans="1:10" x14ac:dyDescent="0.3">
      <c r="A40" s="25" t="s">
        <v>10</v>
      </c>
      <c r="B40" s="21">
        <v>200</v>
      </c>
      <c r="C40" s="22">
        <v>20104</v>
      </c>
      <c r="F40" t="str">
        <f t="shared" si="0"/>
        <v>R05</v>
      </c>
      <c r="G40">
        <f t="shared" si="0"/>
        <v>200</v>
      </c>
      <c r="H40" s="26">
        <f t="shared" si="0"/>
        <v>20104</v>
      </c>
      <c r="I40">
        <f t="shared" si="1"/>
        <v>200</v>
      </c>
      <c r="J40">
        <f t="shared" si="2"/>
        <v>20104</v>
      </c>
    </row>
    <row r="41" spans="1:10" x14ac:dyDescent="0.3">
      <c r="A41" s="25" t="s">
        <v>1047</v>
      </c>
      <c r="B41" s="21">
        <v>1000</v>
      </c>
      <c r="C41" s="22">
        <v>96623</v>
      </c>
    </row>
    <row r="44" spans="1:10" x14ac:dyDescent="0.3">
      <c r="F44" t="s">
        <v>1077</v>
      </c>
    </row>
    <row r="45" spans="1:10" x14ac:dyDescent="0.3">
      <c r="A45" s="24" t="s">
        <v>1046</v>
      </c>
    </row>
    <row r="46" spans="1:10" x14ac:dyDescent="0.3">
      <c r="A46" s="27" t="s">
        <v>10</v>
      </c>
      <c r="F46" t="s">
        <v>1078</v>
      </c>
      <c r="G46" s="37">
        <f>A12/A4</f>
        <v>0.2</v>
      </c>
    </row>
    <row r="47" spans="1:10" x14ac:dyDescent="0.3">
      <c r="A47" s="25" t="s">
        <v>1047</v>
      </c>
      <c r="F47" t="s">
        <v>1070</v>
      </c>
      <c r="G47">
        <f>_xlfn.XLOOKUP(A46,F36:F40,G36:G40)</f>
        <v>200</v>
      </c>
    </row>
    <row r="48" spans="1:10" x14ac:dyDescent="0.3">
      <c r="F48" t="s">
        <v>1080</v>
      </c>
      <c r="G48">
        <f>_xlfn.XLOOKUP(A46,F36:F40,H36:H40)</f>
        <v>20104</v>
      </c>
    </row>
    <row r="49" spans="1:10" x14ac:dyDescent="0.3">
      <c r="I49" t="s">
        <v>1081</v>
      </c>
    </row>
    <row r="50" spans="1:10" x14ac:dyDescent="0.3">
      <c r="F50" t="s">
        <v>1079</v>
      </c>
      <c r="G50">
        <f>_xlfn.RANK.AVG(G47,G36:G40)</f>
        <v>3</v>
      </c>
      <c r="J50" t="str">
        <f>"% of calls:"&amp;TEXT(G46,"0%")</f>
        <v>% of calls:20%</v>
      </c>
    </row>
    <row r="51" spans="1:10" x14ac:dyDescent="0.3">
      <c r="F51" t="s">
        <v>1080</v>
      </c>
      <c r="G51">
        <f>_xlfn.RANK.AVG(G48,H36:H40)</f>
        <v>3</v>
      </c>
      <c r="J51" t="str">
        <f>"Call Rank:"&amp;G50</f>
        <v>Call Rank:3</v>
      </c>
    </row>
    <row r="52" spans="1:10" x14ac:dyDescent="0.3">
      <c r="J52" t="str">
        <f>"Amoont Rank:"&amp;G51</f>
        <v>Amoont Rank:3</v>
      </c>
    </row>
    <row r="54" spans="1:10" x14ac:dyDescent="0.3">
      <c r="A54" s="24" t="s">
        <v>1041</v>
      </c>
      <c r="B54" s="24" t="s">
        <v>1075</v>
      </c>
    </row>
    <row r="55" spans="1:10" x14ac:dyDescent="0.3">
      <c r="A55" s="24" t="s">
        <v>1046</v>
      </c>
      <c r="B55" t="s">
        <v>999</v>
      </c>
      <c r="C55" t="s">
        <v>998</v>
      </c>
      <c r="D55" t="s">
        <v>1047</v>
      </c>
    </row>
    <row r="56" spans="1:10" x14ac:dyDescent="0.3">
      <c r="A56" s="25" t="s">
        <v>1002</v>
      </c>
      <c r="B56" s="21">
        <v>144</v>
      </c>
      <c r="C56" s="21">
        <v>132</v>
      </c>
      <c r="D56" s="21">
        <v>276</v>
      </c>
    </row>
    <row r="57" spans="1:10" x14ac:dyDescent="0.3">
      <c r="A57" s="25" t="s">
        <v>1001</v>
      </c>
      <c r="B57" s="21">
        <v>326</v>
      </c>
      <c r="C57" s="21">
        <v>63</v>
      </c>
      <c r="D57" s="21">
        <v>389</v>
      </c>
    </row>
    <row r="58" spans="1:10" x14ac:dyDescent="0.3">
      <c r="A58" s="25" t="s">
        <v>1000</v>
      </c>
      <c r="B58" s="21">
        <v>129</v>
      </c>
      <c r="C58" s="21">
        <v>206</v>
      </c>
      <c r="D58" s="21">
        <v>335</v>
      </c>
    </row>
    <row r="59" spans="1:10" x14ac:dyDescent="0.3">
      <c r="A59" s="25" t="s">
        <v>1047</v>
      </c>
      <c r="B59" s="21">
        <v>599</v>
      </c>
      <c r="C59" s="21">
        <v>401</v>
      </c>
      <c r="D59" s="21">
        <v>1000</v>
      </c>
    </row>
    <row r="64" spans="1:10" x14ac:dyDescent="0.3">
      <c r="A64" s="24" t="s">
        <v>1046</v>
      </c>
      <c r="B64" t="s">
        <v>1041</v>
      </c>
    </row>
    <row r="65" spans="1:7" x14ac:dyDescent="0.3">
      <c r="A65" s="25">
        <v>2</v>
      </c>
      <c r="B65" s="21">
        <v>10</v>
      </c>
    </row>
    <row r="66" spans="1:7" x14ac:dyDescent="0.3">
      <c r="A66" s="25">
        <v>3</v>
      </c>
      <c r="B66" s="21">
        <v>44</v>
      </c>
    </row>
    <row r="67" spans="1:7" x14ac:dyDescent="0.3">
      <c r="A67" s="25">
        <v>4</v>
      </c>
      <c r="B67" s="21">
        <v>95</v>
      </c>
    </row>
    <row r="68" spans="1:7" x14ac:dyDescent="0.3">
      <c r="A68" s="25">
        <v>5</v>
      </c>
      <c r="B68" s="21">
        <v>51</v>
      </c>
    </row>
    <row r="69" spans="1:7" x14ac:dyDescent="0.3">
      <c r="A69" s="25" t="s">
        <v>1047</v>
      </c>
      <c r="B69" s="21">
        <v>200</v>
      </c>
    </row>
    <row r="76" spans="1:7" x14ac:dyDescent="0.3">
      <c r="A76" s="24" t="s">
        <v>1042</v>
      </c>
      <c r="B76" s="24" t="s">
        <v>1075</v>
      </c>
    </row>
    <row r="77" spans="1:7" x14ac:dyDescent="0.3">
      <c r="A77" s="24" t="s">
        <v>1046</v>
      </c>
      <c r="B77" t="s">
        <v>11</v>
      </c>
      <c r="C77" t="s">
        <v>9</v>
      </c>
      <c r="D77" t="s">
        <v>6</v>
      </c>
      <c r="E77" t="s">
        <v>13</v>
      </c>
      <c r="F77" t="s">
        <v>10</v>
      </c>
      <c r="G77" t="s">
        <v>1047</v>
      </c>
    </row>
    <row r="78" spans="1:7" x14ac:dyDescent="0.3">
      <c r="A78" s="25" t="s">
        <v>1002</v>
      </c>
      <c r="B78" s="28"/>
      <c r="C78" s="28"/>
      <c r="D78" s="28"/>
      <c r="E78" s="28"/>
      <c r="F78" s="28"/>
      <c r="G78" s="28"/>
    </row>
    <row r="79" spans="1:7" x14ac:dyDescent="0.3">
      <c r="A79" s="29" t="s">
        <v>20</v>
      </c>
      <c r="B79" s="22">
        <v>891</v>
      </c>
      <c r="C79" s="22">
        <v>1332</v>
      </c>
      <c r="D79" s="22">
        <v>1282</v>
      </c>
      <c r="E79" s="22">
        <v>739</v>
      </c>
      <c r="F79" s="22">
        <v>560</v>
      </c>
      <c r="G79" s="22">
        <v>4804</v>
      </c>
    </row>
    <row r="80" spans="1:7" x14ac:dyDescent="0.3">
      <c r="A80" s="29" t="s">
        <v>12</v>
      </c>
      <c r="B80" s="22">
        <v>1991</v>
      </c>
      <c r="C80" s="22">
        <v>1886</v>
      </c>
      <c r="D80" s="22">
        <v>1206</v>
      </c>
      <c r="E80" s="22">
        <v>884</v>
      </c>
      <c r="F80" s="22">
        <v>1722</v>
      </c>
      <c r="G80" s="22">
        <v>7689</v>
      </c>
    </row>
    <row r="81" spans="1:7" x14ac:dyDescent="0.3">
      <c r="A81" s="29" t="s">
        <v>8</v>
      </c>
      <c r="B81" s="22">
        <v>1163</v>
      </c>
      <c r="C81" s="22">
        <v>1180</v>
      </c>
      <c r="D81" s="22">
        <v>1616</v>
      </c>
      <c r="E81" s="22">
        <v>1043</v>
      </c>
      <c r="F81" s="22">
        <v>1747</v>
      </c>
      <c r="G81" s="22">
        <v>6749</v>
      </c>
    </row>
    <row r="82" spans="1:7" x14ac:dyDescent="0.3">
      <c r="A82" s="29" t="s">
        <v>16</v>
      </c>
      <c r="B82" s="22">
        <v>1438</v>
      </c>
      <c r="C82" s="22">
        <v>1616</v>
      </c>
      <c r="D82" s="22">
        <v>866</v>
      </c>
      <c r="E82" s="22">
        <v>829</v>
      </c>
      <c r="F82" s="22">
        <v>2070</v>
      </c>
      <c r="G82" s="22">
        <v>6819</v>
      </c>
    </row>
    <row r="83" spans="1:7" x14ac:dyDescent="0.3">
      <c r="A83" s="25" t="s">
        <v>1001</v>
      </c>
      <c r="B83" s="28"/>
      <c r="C83" s="28"/>
      <c r="D83" s="28"/>
      <c r="E83" s="28"/>
      <c r="F83" s="28"/>
      <c r="G83" s="28"/>
    </row>
    <row r="84" spans="1:7" x14ac:dyDescent="0.3">
      <c r="A84" s="29" t="s">
        <v>24</v>
      </c>
      <c r="B84" s="22">
        <v>1233</v>
      </c>
      <c r="C84" s="22">
        <v>223</v>
      </c>
      <c r="D84" s="22">
        <v>1680</v>
      </c>
      <c r="E84" s="22">
        <v>990</v>
      </c>
      <c r="F84" s="22">
        <v>1508</v>
      </c>
      <c r="G84" s="22">
        <v>5634</v>
      </c>
    </row>
    <row r="85" spans="1:7" x14ac:dyDescent="0.3">
      <c r="A85" s="29" t="s">
        <v>15</v>
      </c>
      <c r="B85" s="22">
        <v>1598</v>
      </c>
      <c r="C85" s="22">
        <v>1907</v>
      </c>
      <c r="D85" s="22">
        <v>869</v>
      </c>
      <c r="E85" s="22">
        <v>1426</v>
      </c>
      <c r="F85" s="22">
        <v>1416</v>
      </c>
      <c r="G85" s="22">
        <v>7216</v>
      </c>
    </row>
    <row r="86" spans="1:7" x14ac:dyDescent="0.3">
      <c r="A86" s="29" t="s">
        <v>5</v>
      </c>
      <c r="B86" s="22">
        <v>900</v>
      </c>
      <c r="C86" s="22">
        <v>1016</v>
      </c>
      <c r="D86" s="22">
        <v>960</v>
      </c>
      <c r="E86" s="22">
        <v>940</v>
      </c>
      <c r="F86" s="22">
        <v>1193</v>
      </c>
      <c r="G86" s="22">
        <v>5009</v>
      </c>
    </row>
    <row r="87" spans="1:7" x14ac:dyDescent="0.3">
      <c r="A87" s="29" t="s">
        <v>18</v>
      </c>
      <c r="B87" s="22">
        <v>900</v>
      </c>
      <c r="C87" s="22">
        <v>1470</v>
      </c>
      <c r="D87" s="22">
        <v>1617</v>
      </c>
      <c r="E87" s="22">
        <v>1314</v>
      </c>
      <c r="F87" s="22">
        <v>941</v>
      </c>
      <c r="G87" s="22">
        <v>6242</v>
      </c>
    </row>
    <row r="88" spans="1:7" x14ac:dyDescent="0.3">
      <c r="A88" s="29" t="s">
        <v>14</v>
      </c>
      <c r="B88" s="22">
        <v>1255</v>
      </c>
      <c r="C88" s="22">
        <v>516</v>
      </c>
      <c r="D88" s="22">
        <v>1874</v>
      </c>
      <c r="E88" s="22">
        <v>1863</v>
      </c>
      <c r="F88" s="22">
        <v>1722</v>
      </c>
      <c r="G88" s="22">
        <v>7230</v>
      </c>
    </row>
    <row r="89" spans="1:7" x14ac:dyDescent="0.3">
      <c r="A89" s="29" t="s">
        <v>19</v>
      </c>
      <c r="B89" s="22">
        <v>1138</v>
      </c>
      <c r="C89" s="22">
        <v>1898</v>
      </c>
      <c r="D89" s="22">
        <v>1482</v>
      </c>
      <c r="E89" s="22">
        <v>846</v>
      </c>
      <c r="F89" s="22">
        <v>1154</v>
      </c>
      <c r="G89" s="22">
        <v>6518</v>
      </c>
    </row>
    <row r="90" spans="1:7" x14ac:dyDescent="0.3">
      <c r="A90" s="25" t="s">
        <v>1000</v>
      </c>
      <c r="B90" s="28"/>
      <c r="C90" s="28"/>
      <c r="D90" s="28"/>
      <c r="E90" s="28"/>
      <c r="F90" s="28"/>
      <c r="G90" s="28"/>
    </row>
    <row r="91" spans="1:7" x14ac:dyDescent="0.3">
      <c r="A91" s="29" t="s">
        <v>17</v>
      </c>
      <c r="B91" s="22">
        <v>1655</v>
      </c>
      <c r="C91" s="22">
        <v>805</v>
      </c>
      <c r="D91" s="22">
        <v>2263</v>
      </c>
      <c r="E91" s="22">
        <v>987</v>
      </c>
      <c r="F91" s="22">
        <v>1075</v>
      </c>
      <c r="G91" s="22">
        <v>6785</v>
      </c>
    </row>
    <row r="92" spans="1:7" x14ac:dyDescent="0.3">
      <c r="A92" s="29" t="s">
        <v>23</v>
      </c>
      <c r="B92" s="22">
        <v>1104</v>
      </c>
      <c r="C92" s="22">
        <v>2280</v>
      </c>
      <c r="D92" s="22">
        <v>1445</v>
      </c>
      <c r="E92" s="22">
        <v>1722</v>
      </c>
      <c r="F92" s="22">
        <v>1196</v>
      </c>
      <c r="G92" s="22">
        <v>7747</v>
      </c>
    </row>
    <row r="93" spans="1:7" x14ac:dyDescent="0.3">
      <c r="A93" s="29" t="s">
        <v>7</v>
      </c>
      <c r="B93" s="22">
        <v>372</v>
      </c>
      <c r="C93" s="22">
        <v>1818</v>
      </c>
      <c r="D93" s="22">
        <v>1346</v>
      </c>
      <c r="E93" s="22">
        <v>1156</v>
      </c>
      <c r="F93" s="22">
        <v>1484</v>
      </c>
      <c r="G93" s="22">
        <v>6176</v>
      </c>
    </row>
    <row r="94" spans="1:7" x14ac:dyDescent="0.3">
      <c r="A94" s="29" t="s">
        <v>22</v>
      </c>
      <c r="B94" s="22">
        <v>1415</v>
      </c>
      <c r="C94" s="22">
        <v>1271</v>
      </c>
      <c r="D94" s="22">
        <v>1214</v>
      </c>
      <c r="E94" s="22">
        <v>1135</v>
      </c>
      <c r="F94" s="22">
        <v>1566</v>
      </c>
      <c r="G94" s="22">
        <v>6601</v>
      </c>
    </row>
    <row r="95" spans="1:7" x14ac:dyDescent="0.3">
      <c r="A95" s="29" t="s">
        <v>21</v>
      </c>
      <c r="B95" s="22">
        <v>1362</v>
      </c>
      <c r="C95" s="22">
        <v>1363</v>
      </c>
      <c r="D95" s="22">
        <v>1152</v>
      </c>
      <c r="E95" s="22">
        <v>777</v>
      </c>
      <c r="F95" s="22">
        <v>750</v>
      </c>
      <c r="G95" s="2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B11" sqref="B1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CEA8-32B5-499A-8E80-1FBDAF386651}">
  <dimension ref="A1:Z37"/>
  <sheetViews>
    <sheetView tabSelected="1" zoomScale="85" zoomScaleNormal="85" workbookViewId="0">
      <selection activeCell="P29" activeCellId="2" sqref="P17 P22 P29"/>
    </sheetView>
  </sheetViews>
  <sheetFormatPr defaultRowHeight="14.4" x14ac:dyDescent="0.3"/>
  <cols>
    <col min="14" max="14" width="6.69921875" customWidth="1"/>
    <col min="15" max="15" width="0.796875" customWidth="1"/>
    <col min="17" max="21" width="9.19921875" bestFit="1" customWidth="1"/>
    <col min="22" max="22" width="15.19921875" customWidth="1"/>
    <col min="23" max="23" width="9.765625E-2" customWidth="1"/>
    <col min="24" max="24" width="8.796875" hidden="1" customWidth="1"/>
  </cols>
  <sheetData>
    <row r="1" spans="1:26" x14ac:dyDescent="0.3">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30"/>
      <c r="Q16" s="34" t="str" cm="1">
        <f t="array" ref="Q16:U16">Sheet4!B77:F77</f>
        <v>R01</v>
      </c>
      <c r="R16" s="34" t="str">
        <v>R02</v>
      </c>
      <c r="S16" s="34" t="str">
        <v>R03</v>
      </c>
      <c r="T16" s="34" t="str">
        <v>R04</v>
      </c>
      <c r="U16" s="34" t="str">
        <v>R05</v>
      </c>
      <c r="V16" s="34" t="s">
        <v>1076</v>
      </c>
      <c r="W16" s="20"/>
      <c r="X16" s="20"/>
      <c r="Y16" s="20"/>
      <c r="Z16" s="20"/>
    </row>
    <row r="17" spans="1:26" x14ac:dyDescent="0.3">
      <c r="A17" s="20"/>
      <c r="B17" s="20"/>
      <c r="C17" s="20"/>
      <c r="D17" s="20"/>
      <c r="E17" s="20"/>
      <c r="F17" s="20"/>
      <c r="G17" s="20"/>
      <c r="H17" s="20"/>
      <c r="I17" s="20"/>
      <c r="J17" s="20"/>
      <c r="K17" s="20"/>
      <c r="L17" s="20"/>
      <c r="M17" s="20"/>
      <c r="N17" s="20"/>
      <c r="O17" s="20"/>
      <c r="P17" s="35" t="str" cm="1">
        <f t="array" ref="P17:V34">IF(Sheet4!A78:G95="","",Sheet4!A78:G95)</f>
        <v>Cincinnati</v>
      </c>
      <c r="Q17" s="31" t="str">
        <v/>
      </c>
      <c r="R17" s="31" t="str">
        <v/>
      </c>
      <c r="S17" s="31" t="str">
        <v/>
      </c>
      <c r="T17" s="31" t="str">
        <v/>
      </c>
      <c r="U17" s="31" t="str">
        <v/>
      </c>
      <c r="V17" s="31" t="str">
        <v/>
      </c>
      <c r="W17" s="20"/>
      <c r="X17" s="20"/>
      <c r="Y17" s="20"/>
      <c r="Z17" s="20"/>
    </row>
    <row r="18" spans="1:26" x14ac:dyDescent="0.3">
      <c r="A18" s="20"/>
      <c r="B18" s="20"/>
      <c r="C18" s="20"/>
      <c r="D18" s="20"/>
      <c r="E18" s="20"/>
      <c r="F18" s="20"/>
      <c r="G18" s="20"/>
      <c r="H18" s="20"/>
      <c r="I18" s="20"/>
      <c r="J18" s="20"/>
      <c r="K18" s="20"/>
      <c r="L18" s="20"/>
      <c r="M18" s="20"/>
      <c r="N18" s="20"/>
      <c r="O18" s="20"/>
      <c r="P18" s="32" t="str">
        <v>C0003</v>
      </c>
      <c r="Q18" s="33">
        <v>891</v>
      </c>
      <c r="R18" s="33">
        <v>1332</v>
      </c>
      <c r="S18" s="33">
        <v>1282</v>
      </c>
      <c r="T18" s="33">
        <v>739</v>
      </c>
      <c r="U18" s="33">
        <v>560</v>
      </c>
      <c r="V18" s="33">
        <v>4804</v>
      </c>
      <c r="W18" s="20"/>
      <c r="X18" s="20"/>
      <c r="Y18" s="20"/>
      <c r="Z18" s="20"/>
    </row>
    <row r="19" spans="1:26" x14ac:dyDescent="0.3">
      <c r="A19" s="20"/>
      <c r="B19" s="20"/>
      <c r="C19" s="20"/>
      <c r="D19" s="20"/>
      <c r="E19" s="20"/>
      <c r="F19" s="20"/>
      <c r="G19" s="20"/>
      <c r="H19" s="20"/>
      <c r="I19" s="20"/>
      <c r="J19" s="20"/>
      <c r="K19" s="20"/>
      <c r="L19" s="20"/>
      <c r="M19" s="20"/>
      <c r="N19" s="20"/>
      <c r="O19" s="20"/>
      <c r="P19" s="32" t="str">
        <v>C0004</v>
      </c>
      <c r="Q19" s="33">
        <v>1991</v>
      </c>
      <c r="R19" s="33">
        <v>1886</v>
      </c>
      <c r="S19" s="33">
        <v>1206</v>
      </c>
      <c r="T19" s="33">
        <v>884</v>
      </c>
      <c r="U19" s="33">
        <v>1722</v>
      </c>
      <c r="V19" s="33">
        <v>7689</v>
      </c>
      <c r="W19" s="20"/>
      <c r="X19" s="20"/>
      <c r="Y19" s="20"/>
      <c r="Z19" s="20"/>
    </row>
    <row r="20" spans="1:26" x14ac:dyDescent="0.3">
      <c r="A20" s="20"/>
      <c r="B20" s="20"/>
      <c r="C20" s="20"/>
      <c r="D20" s="20"/>
      <c r="E20" s="20"/>
      <c r="F20" s="20"/>
      <c r="G20" s="20"/>
      <c r="H20" s="20"/>
      <c r="I20" s="20"/>
      <c r="J20" s="20"/>
      <c r="K20" s="20"/>
      <c r="L20" s="20"/>
      <c r="M20" s="20"/>
      <c r="N20" s="20"/>
      <c r="O20" s="20"/>
      <c r="P20" s="32" t="str">
        <v>C0011</v>
      </c>
      <c r="Q20" s="33">
        <v>1163</v>
      </c>
      <c r="R20" s="33">
        <v>1180</v>
      </c>
      <c r="S20" s="33">
        <v>1616</v>
      </c>
      <c r="T20" s="33">
        <v>1043</v>
      </c>
      <c r="U20" s="33">
        <v>1747</v>
      </c>
      <c r="V20" s="33">
        <v>6749</v>
      </c>
      <c r="W20" s="20"/>
      <c r="X20" s="20"/>
      <c r="Y20" s="20"/>
      <c r="Z20" s="20"/>
    </row>
    <row r="21" spans="1:26" x14ac:dyDescent="0.3">
      <c r="A21" s="20"/>
      <c r="B21" s="20"/>
      <c r="C21" s="20"/>
      <c r="D21" s="20"/>
      <c r="E21" s="20"/>
      <c r="F21" s="20"/>
      <c r="G21" s="20"/>
      <c r="H21" s="20"/>
      <c r="I21" s="20"/>
      <c r="J21" s="20"/>
      <c r="K21" s="20"/>
      <c r="L21" s="20"/>
      <c r="M21" s="20"/>
      <c r="N21" s="20"/>
      <c r="O21" s="20"/>
      <c r="P21" s="32" t="str">
        <v>C0012</v>
      </c>
      <c r="Q21" s="33">
        <v>1438</v>
      </c>
      <c r="R21" s="33">
        <v>1616</v>
      </c>
      <c r="S21" s="33">
        <v>866</v>
      </c>
      <c r="T21" s="33">
        <v>829</v>
      </c>
      <c r="U21" s="33">
        <v>2070</v>
      </c>
      <c r="V21" s="33">
        <v>6819</v>
      </c>
      <c r="W21" s="20"/>
      <c r="X21" s="20"/>
      <c r="Y21" s="20"/>
      <c r="Z21" s="20"/>
    </row>
    <row r="22" spans="1:26" x14ac:dyDescent="0.3">
      <c r="A22" s="20"/>
      <c r="B22" s="20"/>
      <c r="C22" s="20"/>
      <c r="D22" s="20"/>
      <c r="E22" s="20"/>
      <c r="F22" s="20"/>
      <c r="G22" s="20"/>
      <c r="H22" s="20"/>
      <c r="I22" s="20"/>
      <c r="J22" s="20"/>
      <c r="K22" s="20"/>
      <c r="L22" s="20"/>
      <c r="M22" s="20"/>
      <c r="N22" s="20"/>
      <c r="O22" s="20"/>
      <c r="P22" s="36" t="str">
        <v>Cleveland</v>
      </c>
      <c r="Q22" s="33" t="str">
        <v/>
      </c>
      <c r="R22" s="33" t="str">
        <v/>
      </c>
      <c r="S22" s="33" t="str">
        <v/>
      </c>
      <c r="T22" s="33" t="str">
        <v/>
      </c>
      <c r="U22" s="33" t="str">
        <v/>
      </c>
      <c r="V22" s="33" t="str">
        <v/>
      </c>
      <c r="W22" s="20"/>
      <c r="X22" s="20"/>
      <c r="Y22" s="20"/>
      <c r="Z22" s="20"/>
    </row>
    <row r="23" spans="1:26" x14ac:dyDescent="0.3">
      <c r="A23" s="20"/>
      <c r="B23" s="20"/>
      <c r="C23" s="20"/>
      <c r="D23" s="20"/>
      <c r="E23" s="20"/>
      <c r="F23" s="20"/>
      <c r="G23" s="20"/>
      <c r="H23" s="20"/>
      <c r="I23" s="20"/>
      <c r="J23" s="20"/>
      <c r="K23" s="20"/>
      <c r="L23" s="20"/>
      <c r="M23" s="20"/>
      <c r="N23" s="20"/>
      <c r="O23" s="20"/>
      <c r="P23" s="32" t="str">
        <v>C0002</v>
      </c>
      <c r="Q23" s="33">
        <v>1233</v>
      </c>
      <c r="R23" s="33">
        <v>223</v>
      </c>
      <c r="S23" s="33">
        <v>1680</v>
      </c>
      <c r="T23" s="33">
        <v>990</v>
      </c>
      <c r="U23" s="33">
        <v>1508</v>
      </c>
      <c r="V23" s="33">
        <v>5634</v>
      </c>
      <c r="W23" s="20"/>
      <c r="X23" s="20"/>
      <c r="Y23" s="20"/>
      <c r="Z23" s="20"/>
    </row>
    <row r="24" spans="1:26" x14ac:dyDescent="0.3">
      <c r="A24" s="20"/>
      <c r="B24" s="20"/>
      <c r="C24" s="20"/>
      <c r="D24" s="20"/>
      <c r="E24" s="20"/>
      <c r="F24" s="20"/>
      <c r="G24" s="20"/>
      <c r="H24" s="20"/>
      <c r="I24" s="20"/>
      <c r="J24" s="20"/>
      <c r="K24" s="20"/>
      <c r="L24" s="20"/>
      <c r="M24" s="20"/>
      <c r="N24" s="20"/>
      <c r="O24" s="20"/>
      <c r="P24" s="32" t="str">
        <v>C0007</v>
      </c>
      <c r="Q24" s="33">
        <v>1598</v>
      </c>
      <c r="R24" s="33">
        <v>1907</v>
      </c>
      <c r="S24" s="33">
        <v>869</v>
      </c>
      <c r="T24" s="33">
        <v>1426</v>
      </c>
      <c r="U24" s="33">
        <v>1416</v>
      </c>
      <c r="V24" s="33">
        <v>7216</v>
      </c>
      <c r="W24" s="20"/>
      <c r="X24" s="20"/>
      <c r="Y24" s="20"/>
      <c r="Z24" s="20"/>
    </row>
    <row r="25" spans="1:26" x14ac:dyDescent="0.3">
      <c r="A25" s="20"/>
      <c r="B25" s="20"/>
      <c r="C25" s="20"/>
      <c r="D25" s="20"/>
      <c r="E25" s="20"/>
      <c r="F25" s="20"/>
      <c r="G25" s="20"/>
      <c r="H25" s="20"/>
      <c r="I25" s="20"/>
      <c r="J25" s="20"/>
      <c r="K25" s="20"/>
      <c r="L25" s="20"/>
      <c r="M25" s="20"/>
      <c r="N25" s="20"/>
      <c r="O25" s="20"/>
      <c r="P25" s="32" t="str">
        <v>C0008</v>
      </c>
      <c r="Q25" s="33">
        <v>900</v>
      </c>
      <c r="R25" s="33">
        <v>1016</v>
      </c>
      <c r="S25" s="33">
        <v>960</v>
      </c>
      <c r="T25" s="33">
        <v>940</v>
      </c>
      <c r="U25" s="33">
        <v>1193</v>
      </c>
      <c r="V25" s="33">
        <v>5009</v>
      </c>
      <c r="W25" s="20"/>
      <c r="X25" s="20"/>
      <c r="Y25" s="20"/>
      <c r="Z25" s="20"/>
    </row>
    <row r="26" spans="1:26" x14ac:dyDescent="0.3">
      <c r="A26" s="20"/>
      <c r="B26" s="20"/>
      <c r="C26" s="20"/>
      <c r="D26" s="20"/>
      <c r="E26" s="20"/>
      <c r="F26" s="20"/>
      <c r="G26" s="20"/>
      <c r="H26" s="20"/>
      <c r="I26" s="20"/>
      <c r="J26" s="20"/>
      <c r="K26" s="20"/>
      <c r="L26" s="20"/>
      <c r="M26" s="20"/>
      <c r="N26" s="20"/>
      <c r="O26" s="20"/>
      <c r="P26" s="32" t="str">
        <v>C0010</v>
      </c>
      <c r="Q26" s="33">
        <v>900</v>
      </c>
      <c r="R26" s="33">
        <v>1470</v>
      </c>
      <c r="S26" s="33">
        <v>1617</v>
      </c>
      <c r="T26" s="33">
        <v>1314</v>
      </c>
      <c r="U26" s="33">
        <v>941</v>
      </c>
      <c r="V26" s="33">
        <v>6242</v>
      </c>
      <c r="W26" s="20"/>
      <c r="X26" s="20"/>
      <c r="Y26" s="20"/>
      <c r="Z26" s="20"/>
    </row>
    <row r="27" spans="1:26" x14ac:dyDescent="0.3">
      <c r="A27" s="20"/>
      <c r="B27" s="20"/>
      <c r="C27" s="20"/>
      <c r="D27" s="20"/>
      <c r="E27" s="20"/>
      <c r="F27" s="20"/>
      <c r="G27" s="20"/>
      <c r="H27" s="20"/>
      <c r="I27" s="20"/>
      <c r="J27" s="20"/>
      <c r="K27" s="20"/>
      <c r="L27" s="20"/>
      <c r="M27" s="20"/>
      <c r="N27" s="20"/>
      <c r="O27" s="20"/>
      <c r="P27" s="32" t="str">
        <v>C0013</v>
      </c>
      <c r="Q27" s="33">
        <v>1255</v>
      </c>
      <c r="R27" s="33">
        <v>516</v>
      </c>
      <c r="S27" s="33">
        <v>1874</v>
      </c>
      <c r="T27" s="33">
        <v>1863</v>
      </c>
      <c r="U27" s="33">
        <v>1722</v>
      </c>
      <c r="V27" s="33">
        <v>7230</v>
      </c>
      <c r="W27" s="20"/>
      <c r="X27" s="20"/>
      <c r="Y27" s="20"/>
      <c r="Z27" s="20"/>
    </row>
    <row r="28" spans="1:26" x14ac:dyDescent="0.3">
      <c r="A28" s="20"/>
      <c r="B28" s="20"/>
      <c r="C28" s="20"/>
      <c r="D28" s="20"/>
      <c r="E28" s="20"/>
      <c r="F28" s="20"/>
      <c r="G28" s="20"/>
      <c r="H28" s="20"/>
      <c r="I28" s="20"/>
      <c r="J28" s="20"/>
      <c r="K28" s="20"/>
      <c r="L28" s="20"/>
      <c r="M28" s="20"/>
      <c r="N28" s="20"/>
      <c r="O28" s="20"/>
      <c r="P28" s="32" t="str">
        <v>C0015</v>
      </c>
      <c r="Q28" s="33">
        <v>1138</v>
      </c>
      <c r="R28" s="33">
        <v>1898</v>
      </c>
      <c r="S28" s="33">
        <v>1482</v>
      </c>
      <c r="T28" s="33">
        <v>846</v>
      </c>
      <c r="U28" s="33">
        <v>1154</v>
      </c>
      <c r="V28" s="33">
        <v>6518</v>
      </c>
      <c r="W28" s="20"/>
      <c r="X28" s="20"/>
      <c r="Y28" s="20"/>
      <c r="Z28" s="20"/>
    </row>
    <row r="29" spans="1:26" x14ac:dyDescent="0.3">
      <c r="A29" s="20"/>
      <c r="B29" s="20"/>
      <c r="C29" s="20"/>
      <c r="D29" s="20"/>
      <c r="E29" s="20"/>
      <c r="F29" s="20"/>
      <c r="G29" s="20"/>
      <c r="H29" s="20"/>
      <c r="I29" s="20"/>
      <c r="J29" s="20"/>
      <c r="K29" s="20"/>
      <c r="L29" s="20"/>
      <c r="M29" s="20"/>
      <c r="N29" s="20"/>
      <c r="O29" s="20"/>
      <c r="P29" s="36" t="str">
        <v>Columbus</v>
      </c>
      <c r="Q29" s="33" t="str">
        <v/>
      </c>
      <c r="R29" s="33" t="str">
        <v/>
      </c>
      <c r="S29" s="33" t="str">
        <v/>
      </c>
      <c r="T29" s="33" t="str">
        <v/>
      </c>
      <c r="U29" s="33" t="str">
        <v/>
      </c>
      <c r="V29" s="33" t="str">
        <v/>
      </c>
      <c r="W29" s="20"/>
      <c r="X29" s="20"/>
      <c r="Y29" s="20"/>
      <c r="Z29" s="20"/>
    </row>
    <row r="30" spans="1:26" x14ac:dyDescent="0.3">
      <c r="A30" s="20"/>
      <c r="B30" s="20"/>
      <c r="C30" s="20"/>
      <c r="D30" s="20"/>
      <c r="E30" s="20"/>
      <c r="F30" s="20"/>
      <c r="G30" s="20"/>
      <c r="H30" s="20"/>
      <c r="I30" s="20"/>
      <c r="J30" s="20"/>
      <c r="K30" s="20"/>
      <c r="L30" s="20"/>
      <c r="M30" s="20"/>
      <c r="N30" s="20"/>
      <c r="O30" s="20"/>
      <c r="P30" s="32" t="str">
        <v>C0001</v>
      </c>
      <c r="Q30" s="33">
        <v>1655</v>
      </c>
      <c r="R30" s="33">
        <v>805</v>
      </c>
      <c r="S30" s="33">
        <v>2263</v>
      </c>
      <c r="T30" s="33">
        <v>987</v>
      </c>
      <c r="U30" s="33">
        <v>1075</v>
      </c>
      <c r="V30" s="33">
        <v>6785</v>
      </c>
      <c r="W30" s="20"/>
      <c r="X30" s="20"/>
      <c r="Y30" s="20"/>
      <c r="Z30" s="20"/>
    </row>
    <row r="31" spans="1:26" x14ac:dyDescent="0.3">
      <c r="A31" s="20"/>
      <c r="B31" s="20"/>
      <c r="C31" s="20"/>
      <c r="D31" s="20"/>
      <c r="E31" s="20"/>
      <c r="F31" s="20"/>
      <c r="G31" s="20"/>
      <c r="H31" s="20"/>
      <c r="I31" s="20"/>
      <c r="J31" s="20"/>
      <c r="K31" s="20"/>
      <c r="L31" s="20"/>
      <c r="M31" s="20"/>
      <c r="N31" s="20"/>
      <c r="O31" s="20"/>
      <c r="P31" s="32" t="str">
        <v>C0005</v>
      </c>
      <c r="Q31" s="33">
        <v>1104</v>
      </c>
      <c r="R31" s="33">
        <v>2280</v>
      </c>
      <c r="S31" s="33">
        <v>1445</v>
      </c>
      <c r="T31" s="33">
        <v>1722</v>
      </c>
      <c r="U31" s="33">
        <v>1196</v>
      </c>
      <c r="V31" s="33">
        <v>7747</v>
      </c>
      <c r="W31" s="20"/>
      <c r="X31" s="20"/>
      <c r="Y31" s="20"/>
      <c r="Z31" s="20"/>
    </row>
    <row r="32" spans="1:26" x14ac:dyDescent="0.3">
      <c r="A32" s="20"/>
      <c r="B32" s="20"/>
      <c r="C32" s="20"/>
      <c r="D32" s="20"/>
      <c r="E32" s="20"/>
      <c r="F32" s="20"/>
      <c r="G32" s="20"/>
      <c r="H32" s="20"/>
      <c r="I32" s="20"/>
      <c r="J32" s="20"/>
      <c r="K32" s="20"/>
      <c r="L32" s="20"/>
      <c r="M32" s="20"/>
      <c r="N32" s="20"/>
      <c r="O32" s="20"/>
      <c r="P32" s="32" t="str">
        <v>C0006</v>
      </c>
      <c r="Q32" s="33">
        <v>372</v>
      </c>
      <c r="R32" s="33">
        <v>1818</v>
      </c>
      <c r="S32" s="33">
        <v>1346</v>
      </c>
      <c r="T32" s="33">
        <v>1156</v>
      </c>
      <c r="U32" s="33">
        <v>1484</v>
      </c>
      <c r="V32" s="33">
        <v>6176</v>
      </c>
      <c r="W32" s="20"/>
      <c r="X32" s="20"/>
      <c r="Y32" s="20"/>
      <c r="Z32" s="20"/>
    </row>
    <row r="33" spans="1:26" x14ac:dyDescent="0.3">
      <c r="A33" s="20"/>
      <c r="B33" s="20"/>
      <c r="C33" s="20"/>
      <c r="D33" s="20"/>
      <c r="E33" s="20"/>
      <c r="F33" s="20"/>
      <c r="G33" s="20"/>
      <c r="H33" s="20"/>
      <c r="I33" s="20"/>
      <c r="J33" s="20"/>
      <c r="K33" s="20"/>
      <c r="L33" s="20"/>
      <c r="M33" s="20"/>
      <c r="N33" s="20"/>
      <c r="O33" s="20"/>
      <c r="P33" s="32" t="str">
        <v>C0009</v>
      </c>
      <c r="Q33" s="33">
        <v>1415</v>
      </c>
      <c r="R33" s="33">
        <v>1271</v>
      </c>
      <c r="S33" s="33">
        <v>1214</v>
      </c>
      <c r="T33" s="33">
        <v>1135</v>
      </c>
      <c r="U33" s="33">
        <v>1566</v>
      </c>
      <c r="V33" s="33">
        <v>6601</v>
      </c>
      <c r="W33" s="20"/>
      <c r="X33" s="20"/>
      <c r="Y33" s="20"/>
      <c r="Z33" s="20"/>
    </row>
    <row r="34" spans="1:26" x14ac:dyDescent="0.3">
      <c r="A34" s="20"/>
      <c r="B34" s="20"/>
      <c r="C34" s="20"/>
      <c r="D34" s="20"/>
      <c r="E34" s="20"/>
      <c r="F34" s="20"/>
      <c r="G34" s="20"/>
      <c r="H34" s="20"/>
      <c r="I34" s="20"/>
      <c r="J34" s="20"/>
      <c r="K34" s="20"/>
      <c r="L34" s="20"/>
      <c r="M34" s="20"/>
      <c r="N34" s="20"/>
      <c r="O34" s="20"/>
      <c r="P34" s="32" t="str">
        <v>C0014</v>
      </c>
      <c r="Q34" s="33">
        <v>1362</v>
      </c>
      <c r="R34" s="33">
        <v>1363</v>
      </c>
      <c r="S34" s="33">
        <v>1152</v>
      </c>
      <c r="T34" s="33">
        <v>777</v>
      </c>
      <c r="U34" s="33">
        <v>750</v>
      </c>
      <c r="V34" s="33">
        <v>5404</v>
      </c>
      <c r="W34" s="20"/>
      <c r="X34" s="20"/>
      <c r="Y34" s="20"/>
      <c r="Z34" s="20"/>
    </row>
    <row r="35" spans="1:26"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sheetData>
  <conditionalFormatting sqref="Q18:U34">
    <cfRule type="dataBar" priority="4">
      <dataBar>
        <cfvo type="num" val="0"/>
        <cfvo type="formula" val="MAX($Q$18:$U$34)*2"/>
        <color theme="1" tint="0.249977111117893"/>
      </dataBar>
      <extLst>
        <ext xmlns:x14="http://schemas.microsoft.com/office/spreadsheetml/2009/9/main" uri="{B025F937-C7B1-47D3-B67F-A62EFF666E3E}">
          <x14:id>{AB002EEF-1925-4DA8-9B49-427382E8E4F0}</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01B17EF-5C03-4CC1-B0A5-1E04D1444592}">
            <xm:f>Q$16=Sheet4!$A$46</xm:f>
            <x14:dxf>
              <fill>
                <patternFill>
                  <bgColor theme="8" tint="0.39994506668294322"/>
                </patternFill>
              </fill>
              <border>
                <left style="thin">
                  <color theme="1" tint="0.24994659260841701"/>
                </left>
                <right style="thin">
                  <color theme="1" tint="0.24994659260841701"/>
                </right>
                <vertical/>
                <horizontal/>
              </border>
            </x14:dxf>
          </x14:cfRule>
          <xm:sqref>Q16:U34</xm:sqref>
        </x14:conditionalFormatting>
        <x14:conditionalFormatting xmlns:xm="http://schemas.microsoft.com/office/excel/2006/main">
          <x14:cfRule type="dataBar" id="{AB002EEF-1925-4DA8-9B49-427382E8E4F0}">
            <x14:dataBar minLength="0" maxLength="100" gradient="0">
              <x14:cfvo type="num">
                <xm:f>0</xm:f>
              </x14:cfvo>
              <x14:cfvo type="formula">
                <xm:f>MAX($Q$18:$U$34)*2</xm:f>
              </x14:cfvo>
              <x14:negativeFillColor rgb="FFFF0000"/>
              <x14:axisColor rgb="FF000000"/>
            </x14:dataBar>
          </x14:cfRule>
          <xm:sqref>Q18:U34</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E7"/>
  <sheetViews>
    <sheetView zoomScale="115" zoomScaleNormal="115" workbookViewId="0">
      <selection activeCell="E19" sqref="E19"/>
    </sheetView>
  </sheetViews>
  <sheetFormatPr defaultRowHeight="14.4" x14ac:dyDescent="0.3"/>
  <cols>
    <col min="5" max="5" width="10.8984375" customWidth="1"/>
    <col min="6" max="6" width="11.3984375" bestFit="1" customWidth="1"/>
  </cols>
  <sheetData>
    <row r="2" spans="5:5" x14ac:dyDescent="0.3">
      <c r="E2" t="s">
        <v>1040</v>
      </c>
    </row>
    <row r="3" spans="5:5" ht="25.5" customHeight="1" x14ac:dyDescent="0.3">
      <c r="E3" t="s">
        <v>11</v>
      </c>
    </row>
    <row r="4" spans="5:5" ht="25.5" customHeight="1" x14ac:dyDescent="0.3">
      <c r="E4" t="s">
        <v>9</v>
      </c>
    </row>
    <row r="5" spans="5:5" ht="25.5" customHeight="1" x14ac:dyDescent="0.3">
      <c r="E5" t="s">
        <v>6</v>
      </c>
    </row>
    <row r="6" spans="5:5" ht="25.5" customHeight="1" x14ac:dyDescent="0.3">
      <c r="E6" t="s">
        <v>13</v>
      </c>
    </row>
    <row r="7" spans="5:5" ht="25.5" customHeight="1" x14ac:dyDescent="0.3">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Sheet4</vt:lpstr>
      <vt:lpstr>Data</vt:lpstr>
      <vt:lpstr>Sheet1</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alireza gandom</cp:lastModifiedBy>
  <dcterms:created xsi:type="dcterms:W3CDTF">2021-03-14T20:21:32Z</dcterms:created>
  <dcterms:modified xsi:type="dcterms:W3CDTF">2025-11-11T13:10:26Z</dcterms:modified>
</cp:coreProperties>
</file>